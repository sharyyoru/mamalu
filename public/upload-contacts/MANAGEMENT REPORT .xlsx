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SALES FROM TH EMONTH OF MAY - S" sheetId="2" r:id="rId6"/>
    <sheet name="DAY WISE REPORT-1 - Table 1" sheetId="3" r:id="rId7"/>
    <sheet name="DAY WISE REPORT-1 - DAILY-SALE " sheetId="4" r:id="rId8"/>
    <sheet name="DAY WISE REPORT-1 - Table 2" sheetId="5" r:id="rId9"/>
    <sheet name="DAY WISE REPORT-1 - Drawings" sheetId="6" r:id="rId10"/>
    <sheet name="TIME WISE REPORT - TIME WISE SA" sheetId="7" r:id="rId11"/>
    <sheet name="TIME WISE REPORT - Table 2" sheetId="8" r:id="rId12"/>
    <sheet name="TIME WISE REPORT - Drawings" sheetId="9" r:id="rId13"/>
    <sheet name="TOP 10 BEST SELLER - FOOD TOP 1" sheetId="10" r:id="rId14"/>
    <sheet name="TOP 10 BEST SELLER - DRINKS TOP" sheetId="11" r:id="rId15"/>
    <sheet name="TOP 10 BEST SELLER - LEAST 10 S" sheetId="12" r:id="rId16"/>
    <sheet name="TOP 10 BEST SELLER - Drawings" sheetId="13" r:id="rId17"/>
    <sheet name="LEAST 10 SELLER-1 - LEAST 10 SE" sheetId="14" r:id="rId18"/>
    <sheet name="LEAST 10 SELLER-1 - LEAST 10 S1" sheetId="15" r:id="rId19"/>
    <sheet name="LEAST 10 SELLER-1 - LEAST 10 S2" sheetId="16" r:id="rId20"/>
    <sheet name="LEAST 10 SELLER-1 - Drawings" sheetId="17" r:id="rId21"/>
    <sheet name="SALES AND PAYMENTS DONE - PROFI" sheetId="18" r:id="rId22"/>
    <sheet name="EVENTS AND ACTIVATIONS - EVENT " sheetId="19" r:id="rId23"/>
    <sheet name="Sheet 1" sheetId="20" r:id="rId24"/>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<sst xmlns="http://schemas.openxmlformats.org/spreadsheetml/2006/main" uniqueCount="150">
  <si>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</si>
  <si>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</si>
  <si>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</si>
  <si>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</si>
  <si>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SALES FROM TH EMONTH OF MAY</t>
  </si>
  <si>
    <t>SALES REPORT with EVENT SALES</t>
  </si>
  <si>
    <t>SALES FROM TH EMONTH OF MAY - S</t>
  </si>
  <si>
    <t>MONTHS IN 2023</t>
  </si>
  <si>
    <t>FOODS</t>
  </si>
  <si>
    <t>DRINKS</t>
  </si>
  <si>
    <t>ADD ONS</t>
  </si>
  <si>
    <t>TOTAL</t>
  </si>
  <si>
    <t>JAN</t>
  </si>
  <si>
    <t>FEB</t>
  </si>
  <si>
    <t>MAR</t>
  </si>
  <si>
    <t>APRIL</t>
  </si>
  <si>
    <t>MAY</t>
  </si>
  <si>
    <t>JUNE</t>
  </si>
  <si>
    <t>JULY</t>
  </si>
  <si>
    <t>AUG</t>
  </si>
  <si>
    <t>SEPT</t>
  </si>
  <si>
    <t>OCT</t>
  </si>
  <si>
    <t>NOV</t>
  </si>
  <si>
    <t>DEC</t>
  </si>
  <si>
    <t>DAY WISE REPORT-1</t>
  </si>
  <si>
    <t>Table 1</t>
  </si>
  <si>
    <t>DAY WISE REPORT-1 - Table 1</t>
  </si>
  <si>
    <t>MONDAY</t>
  </si>
  <si>
    <t>TUESDAY</t>
  </si>
  <si>
    <t>WEDNESDAY</t>
  </si>
  <si>
    <t>THURSDAY</t>
  </si>
  <si>
    <t>FRIDAY</t>
  </si>
  <si>
    <t>SATURDAY</t>
  </si>
  <si>
    <t>SUNDAY</t>
  </si>
  <si>
    <t>JANUARY</t>
  </si>
  <si>
    <t>FEBRUARY</t>
  </si>
  <si>
    <t>MARCH</t>
  </si>
  <si>
    <t>AUGUST</t>
  </si>
  <si>
    <t>SEPTEMBER</t>
  </si>
  <si>
    <t>OCTOBER</t>
  </si>
  <si>
    <t>NOVEMBER</t>
  </si>
  <si>
    <t>DECEMBER</t>
  </si>
  <si>
    <t>DAILY-SALE REPORT COMPARISON</t>
  </si>
  <si>
    <t xml:space="preserve">DAY WISE REPORT-1 - DAILY-SALE </t>
  </si>
  <si>
    <t>TOTAL AMOUNT PER DAY</t>
  </si>
  <si>
    <t xml:space="preserve">Daily Sales </t>
  </si>
  <si>
    <t>Table 2</t>
  </si>
  <si>
    <t>DAY WISE REPORT-1 - Table 2</t>
  </si>
  <si>
    <t>NOTE</t>
  </si>
  <si>
    <t>This report will help the management to decide on which day we can have our better promotion and boost the marketing. This will also help us to drive our sales and focus on the days of business and the weakest day of the week.</t>
  </si>
  <si>
    <t>“All Drawings from the Sheet”</t>
  </si>
  <si>
    <t>DAY WISE REPORT-1 - Drawings</t>
  </si>
  <si>
    <t>TIME WISE REPORT</t>
  </si>
  <si>
    <t>TIME WISE SALES REPORT JUNE 2024</t>
  </si>
  <si>
    <t>TIME WISE REPORT - TIME WISE SA</t>
  </si>
  <si>
    <t>7am - 1pm</t>
  </si>
  <si>
    <t>2pm - 7pm</t>
  </si>
  <si>
    <t>8pm - 1am</t>
  </si>
  <si>
    <t>SALES PER HOUR</t>
  </si>
  <si>
    <t>TIME WISE REPORT - Table 2</t>
  </si>
  <si>
    <t>This report indicates the hourly basis sales of the shop. This will help us to identify which part of the menu needs the biggest changes or where we can allocate more staff and support the service. The management is eager to support the timely basis of the volume of guests and food selection based on the timings.</t>
  </si>
  <si>
    <t>TIME WISE REPORT - Drawings</t>
  </si>
  <si>
    <t>TOP 10 BEST SELLER</t>
  </si>
  <si>
    <t>FOOD TOP 10 SELLER</t>
  </si>
  <si>
    <t>TOP 10 BEST SELLER - FOOD TOP 1</t>
  </si>
  <si>
    <t>TOTAL VALUE SOLD</t>
  </si>
  <si>
    <t>VANILLA CEREAL CAKE</t>
  </si>
  <si>
    <t>DATES PUDDING</t>
  </si>
  <si>
    <t>CHOCOLATE MOLTEN CAKE</t>
  </si>
  <si>
    <t>AVO ON TOAST</t>
  </si>
  <si>
    <t>HONEY TOAST</t>
  </si>
  <si>
    <t>DRINKS TOP 10</t>
  </si>
  <si>
    <t>TOP 10 BEST SELLER - DRINKS TOP</t>
  </si>
  <si>
    <t>TOTAL VALUE</t>
  </si>
  <si>
    <t>HOT SPANISH</t>
  </si>
  <si>
    <t>ICE V60 PASSION FRUIT</t>
  </si>
  <si>
    <t>ICE SPANISH</t>
  </si>
  <si>
    <t>ICE V60 ETHOPIA</t>
  </si>
  <si>
    <t>ICE MATCHA</t>
  </si>
  <si>
    <t>FLAT WHITE</t>
  </si>
  <si>
    <t>HIBISCUS</t>
  </si>
  <si>
    <t>ESPRESSO</t>
  </si>
  <si>
    <t>AMERICANO</t>
  </si>
  <si>
    <t>PICCOLO</t>
  </si>
  <si>
    <t>LEAST 10 SELLER RETAIL-1</t>
  </si>
  <si>
    <t>TOP 10 BEST SELLER - LEAST 10 S</t>
  </si>
  <si>
    <t>NOTE:</t>
  </si>
  <si>
    <t>REPORT IS TAKEN FOR THE MONTH OF</t>
  </si>
  <si>
    <t>This report will help the management to assess which food are best selling and which items are least selling. End reengineering is needed for us to drive more customers. And this will help to decide which Items we can see go and create new item based on the market strategy.</t>
  </si>
  <si>
    <t>TOP 10 BEST SELLER - Drawings</t>
  </si>
  <si>
    <t>LEAST 10 SELLER-1</t>
  </si>
  <si>
    <t>LEAST 10 SELLER FOOD</t>
  </si>
  <si>
    <t>LEAST 10 SELLER-1 - LEAST 10 SE</t>
  </si>
  <si>
    <t>MATCHA BOWL</t>
  </si>
  <si>
    <t>ACAI BOWL</t>
  </si>
  <si>
    <t>TURKISH EGG</t>
  </si>
  <si>
    <t>CHORIZO SHAKSHUKA</t>
  </si>
  <si>
    <t>TUNA SANDWICH</t>
  </si>
  <si>
    <t>LEAST 10 SELLER DRINKS</t>
  </si>
  <si>
    <t>LEAST 10 SELLER-1 - LEAST 10 S1</t>
  </si>
  <si>
    <t>MACHIATO</t>
  </si>
  <si>
    <t>CHAMOMILE TEA</t>
  </si>
  <si>
    <t>GREEN SMOOTHIE</t>
  </si>
  <si>
    <t>ENGLISH BREAKFAST</t>
  </si>
  <si>
    <t>GREEN TEA</t>
  </si>
  <si>
    <t>HOT CHOCOLATE</t>
  </si>
  <si>
    <t>CHERRY FRAPPE</t>
  </si>
  <si>
    <t>PINK SMOOTHIE</t>
  </si>
  <si>
    <t>MATCHA FRAPPE</t>
  </si>
  <si>
    <t>V60 ETHIOPIA</t>
  </si>
  <si>
    <t>LEAST 10 SELLER-1 - LEAST 10 S2</t>
  </si>
  <si>
    <t xml:space="preserve">Drinks and Food report shows only sales made in the system. The item with 0 sales was not included to the report. </t>
  </si>
  <si>
    <t>LEAST 10 SELLER-1 - Drawings</t>
  </si>
  <si>
    <t>SALES AND PAYMENTS DONE</t>
  </si>
  <si>
    <t>PROFIT AND LOSS REPORT</t>
  </si>
  <si>
    <t>SALES AND PAYMENTS DONE - PROFI</t>
  </si>
  <si>
    <t xml:space="preserve">SALES VS EXPENSE </t>
  </si>
  <si>
    <t xml:space="preserve">TOTAL SALES </t>
  </si>
  <si>
    <t>INVENTORY ON HAND</t>
  </si>
  <si>
    <t xml:space="preserve">SALARY </t>
  </si>
  <si>
    <t>SEWA</t>
  </si>
  <si>
    <t>ETISALAT</t>
  </si>
  <si>
    <t>RENTALS</t>
  </si>
  <si>
    <t>SUPPLIER PAYMENT</t>
  </si>
  <si>
    <t>PETTY CASH USAGE</t>
  </si>
  <si>
    <t>TOTAL:</t>
  </si>
  <si>
    <r>
      <rPr>
        <b val="1"/>
        <sz val="10"/>
        <color indexed="28"/>
        <rFont val="Helvetica Neue"/>
      </rPr>
      <t>NOTE:</t>
    </r>
    <r>
      <rPr>
        <b val="1"/>
        <sz val="10"/>
        <color indexed="8"/>
        <rFont val="Helvetica Neue"/>
      </rPr>
      <t xml:space="preserve"> THE COLOR OF THE TOTAL VALUE IS IN THIS COLORS</t>
    </r>
  </si>
  <si>
    <t xml:space="preserve">RED (NEGATIVE).              </t>
  </si>
  <si>
    <t>GREEN (POSITIVE)</t>
  </si>
  <si>
    <t>EVENTS AND ACTIVATIONS</t>
  </si>
  <si>
    <t>EVENT LIST AND TOTAL</t>
  </si>
  <si>
    <t xml:space="preserve">EVENTS AND ACTIVATIONS - EVENT </t>
  </si>
  <si>
    <t>EVENT NAME</t>
  </si>
  <si>
    <t>DATES</t>
  </si>
  <si>
    <t>TOTAL SALES</t>
  </si>
  <si>
    <t>IGCF EVENT</t>
  </si>
  <si>
    <t>SEPT 2 - SEPT 5</t>
  </si>
  <si>
    <t>JEWELRY EVENT</t>
  </si>
  <si>
    <t>SEPT 25 - SEPT 29</t>
  </si>
  <si>
    <t>PERFUME EVENT</t>
  </si>
  <si>
    <t>OCT 04 - OCT 13</t>
  </si>
  <si>
    <t>SHARJAH ECONOMIC</t>
  </si>
  <si>
    <t>OCT 14 - OCT 24</t>
  </si>
  <si>
    <t>DEPARTMENT OF EDUCATION</t>
  </si>
  <si>
    <t xml:space="preserve">OCT 28 - NOV 1 </t>
  </si>
  <si>
    <t>BOOK FARE</t>
  </si>
  <si>
    <t>NOV 06 - NOV 17</t>
  </si>
  <si>
    <t>DARYA EVENT</t>
  </si>
  <si>
    <t>NOV 27 - NOV 30</t>
  </si>
  <si>
    <t>Sheet 1</t>
  </si>
</sst>
</file>

<file path=xl/styles.xml><?xml version="1.0" encoding="utf-8"?>
<styleSheet xmlns="http://schemas.openxmlformats.org/spreadsheetml/2006/main">
  <numFmts count="4">
    <numFmt numFmtId="0" formatCode="General"/>
    <numFmt numFmtId="59" formatCode="_-[$AED]* #,##0.00_-;_-[$AED]* \(#,##0.00\)_-;_-[$AED]* &quot;-&quot;??;_-@_-"/>
    <numFmt numFmtId="60" formatCode="[$AED]#,##0.00"/>
    <numFmt numFmtId="61" formatCode="mmmm yyyy"/>
  </numFmts>
  <fonts count="8">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b val="1"/>
      <u val="single"/>
      <sz val="10"/>
      <color indexed="8"/>
      <name val="Helvetica Neue"/>
    </font>
    <font>
      <sz val="12"/>
      <color indexed="18"/>
      <name val="Helvetica Neue"/>
    </font>
    <font>
      <b val="1"/>
      <sz val="10"/>
      <color indexed="28"/>
      <name val="Helvetica Neue"/>
    </font>
  </fonts>
  <fills count="1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31"/>
        <bgColor auto="1"/>
      </patternFill>
    </fill>
    <fill>
      <patternFill patternType="solid">
        <fgColor indexed="32"/>
        <bgColor auto="1"/>
      </patternFill>
    </fill>
  </fills>
  <borders count="13">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medium">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ck">
        <color indexed="8"/>
      </bottom>
      <diagonal/>
    </border>
    <border>
      <left style="medium">
        <color indexed="8"/>
      </left>
      <right style="medium">
        <color indexed="8"/>
      </right>
      <top style="medium">
        <color indexed="8"/>
      </top>
      <bottom style="thick">
        <color indexed="8"/>
      </bottom>
      <diagonal/>
    </border>
    <border>
      <left style="medium">
        <color indexed="8"/>
      </left>
      <right style="thick">
        <color indexed="8"/>
      </right>
      <top style="medium">
        <color indexed="8"/>
      </top>
      <bottom style="thick">
        <color indexed="8"/>
      </bottom>
      <diagonal/>
    </border>
    <border>
      <left style="thick">
        <color indexed="8"/>
      </left>
      <right style="thick">
        <color indexed="8"/>
      </right>
      <top style="medium">
        <color indexed="8"/>
      </top>
      <bottom style="thick">
        <color indexed="8"/>
      </bottom>
      <diagonal/>
    </border>
  </borders>
  <cellStyleXfs count="1">
    <xf numFmtId="0" fontId="0" applyNumberFormat="0" applyFont="1" applyFill="0" applyBorder="0" applyAlignment="1" applyProtection="0">
      <alignment vertical="top" wrapText="1"/>
    </xf>
  </cellStyleXfs>
  <cellXfs count="73">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horizontal="center" vertical="top" wrapText="1"/>
    </xf>
    <xf numFmtId="49" fontId="4" fillId="5" borderId="2" applyNumberFormat="1" applyFont="1" applyFill="1" applyBorder="1" applyAlignment="1" applyProtection="0">
      <alignment horizontal="center" vertical="center" wrapText="1"/>
    </xf>
    <xf numFmtId="59" fontId="0" borderId="3" applyNumberFormat="1" applyFont="1" applyFill="0" applyBorder="1" applyAlignment="1" applyProtection="0">
      <alignment vertical="top" wrapText="1"/>
    </xf>
    <xf numFmtId="59" fontId="0" borderId="4" applyNumberFormat="1" applyFont="1" applyFill="0" applyBorder="1" applyAlignment="1" applyProtection="0">
      <alignment vertical="top" wrapText="1"/>
    </xf>
    <xf numFmtId="49" fontId="4" fillId="5" borderId="5" applyNumberFormat="1" applyFont="1" applyFill="1" applyBorder="1" applyAlignment="1" applyProtection="0">
      <alignment horizontal="center" vertical="center" wrapText="1"/>
    </xf>
    <xf numFmtId="59" fontId="0" fillId="6" borderId="6" applyNumberFormat="1" applyFont="1" applyFill="1" applyBorder="1" applyAlignment="1" applyProtection="0">
      <alignment vertical="top" wrapText="1"/>
    </xf>
    <xf numFmtId="59" fontId="0" fillId="6" borderId="7" applyNumberFormat="1" applyFont="1" applyFill="1" applyBorder="1" applyAlignment="1" applyProtection="0">
      <alignment vertical="top" wrapText="1"/>
    </xf>
    <xf numFmtId="59" fontId="0" borderId="6" applyNumberFormat="1" applyFont="1" applyFill="0" applyBorder="1" applyAlignment="1" applyProtection="0">
      <alignment vertical="top" wrapText="1"/>
    </xf>
    <xf numFmtId="59" fontId="0" borderId="7" applyNumberFormat="1" applyFont="1" applyFill="0" applyBorder="1" applyAlignment="1" applyProtection="0">
      <alignment vertical="top" wrapText="1"/>
    </xf>
    <xf numFmtId="49" fontId="4" fillId="7" borderId="5" applyNumberFormat="1" applyFont="1" applyFill="1" applyBorder="1" applyAlignment="1" applyProtection="0">
      <alignment vertical="top" wrapText="1"/>
    </xf>
    <xf numFmtId="59" fontId="5" fillId="7" borderId="6" applyNumberFormat="1" applyFont="1" applyFill="1" applyBorder="1" applyAlignment="1" applyProtection="0">
      <alignment vertical="top" wrapText="1"/>
    </xf>
    <xf numFmtId="59" fontId="5" fillId="7" borderId="7"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4" fillId="4" borderId="1" applyNumberFormat="1" applyFont="1" applyFill="1" applyBorder="1" applyAlignment="1" applyProtection="0">
      <alignment vertical="top" wrapText="1"/>
    </xf>
    <xf numFmtId="49" fontId="4" fillId="5" borderId="2" applyNumberFormat="1" applyFont="1" applyFill="1" applyBorder="1" applyAlignment="1" applyProtection="0">
      <alignment vertical="top" wrapText="1"/>
    </xf>
    <xf numFmtId="49" fontId="4" fillId="5" borderId="5"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4" fillId="4" borderId="1" applyNumberFormat="0" applyFont="1" applyFill="1" applyBorder="1" applyAlignment="1" applyProtection="0">
      <alignment vertical="top" wrapText="1"/>
    </xf>
    <xf numFmtId="0" fontId="4" fillId="5" borderId="2" applyNumberFormat="0" applyFont="1" applyFill="1" applyBorder="1" applyAlignment="1" applyProtection="0">
      <alignment vertical="top" wrapText="1"/>
    </xf>
    <xf numFmtId="49" fontId="0" borderId="3" applyNumberFormat="1" applyFont="1" applyFill="0" applyBorder="1" applyAlignment="1" applyProtection="0">
      <alignment horizontal="center" vertical="center" wrapText="1"/>
    </xf>
    <xf numFmtId="0" fontId="0" borderId="4"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59" fontId="4" borderId="3" applyNumberFormat="1" applyFont="1" applyFill="0" applyBorder="1" applyAlignment="1" applyProtection="0">
      <alignment vertical="top" wrapText="1"/>
    </xf>
    <xf numFmtId="59" fontId="4" fillId="6" borderId="6" applyNumberFormat="1" applyFont="1" applyFill="1" applyBorder="1" applyAlignment="1" applyProtection="0">
      <alignment vertical="top" wrapText="1"/>
    </xf>
    <xf numFmtId="59" fontId="4" borderId="6"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0" borderId="7" applyNumberFormat="1" applyFont="1" applyFill="0" applyBorder="1" applyAlignment="1" applyProtection="0">
      <alignment vertical="top" wrapText="1"/>
    </xf>
    <xf numFmtId="49" fontId="0" fillId="6" borderId="7" applyNumberFormat="1" applyFont="1" applyFill="1" applyBorder="1" applyAlignment="1" applyProtection="0">
      <alignment vertical="top" wrapText="1"/>
    </xf>
    <xf numFmtId="0" fontId="0" fillId="6" borderId="7"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0" borderId="3" applyNumberFormat="1" applyFont="1" applyFill="0" applyBorder="1" applyAlignment="1" applyProtection="0">
      <alignment vertical="top" wrapText="1"/>
    </xf>
    <xf numFmtId="0" fontId="0" applyNumberFormat="1" applyFont="1" applyFill="0" applyBorder="0" applyAlignment="1" applyProtection="0">
      <alignment vertical="top" wrapText="1"/>
    </xf>
    <xf numFmtId="59" fontId="5" fillId="8" borderId="3" applyNumberFormat="1" applyFont="1" applyFill="1" applyBorder="1" applyAlignment="1" applyProtection="0">
      <alignment vertical="top" wrapText="1"/>
    </xf>
    <xf numFmtId="59" fontId="4" fillId="8" borderId="6" applyNumberFormat="1" applyFont="1" applyFill="1" applyBorder="1" applyAlignment="1" applyProtection="0">
      <alignment vertical="top" wrapText="1"/>
    </xf>
    <xf numFmtId="59" fontId="4" fillId="9" borderId="6" applyNumberFormat="1" applyFont="1" applyFill="1" applyBorder="1" applyAlignment="1" applyProtection="0">
      <alignment vertical="top" wrapText="1"/>
    </xf>
    <xf numFmtId="49" fontId="4" fillId="5" borderId="5" applyNumberFormat="1" applyFont="1" applyFill="1" applyBorder="1" applyAlignment="1" applyProtection="0">
      <alignment horizontal="right" vertical="top" wrapText="1"/>
    </xf>
    <xf numFmtId="49" fontId="4" fillId="5" borderId="5" applyNumberFormat="1" applyFont="1" applyFill="1" applyBorder="1" applyAlignment="1" applyProtection="0">
      <alignment horizontal="right" vertical="center" wrapText="1"/>
    </xf>
    <xf numFmtId="49" fontId="4" fillId="10" borderId="6" applyNumberFormat="1" applyFont="1" applyFill="1" applyBorder="1" applyAlignment="1" applyProtection="0">
      <alignment horizontal="center" vertical="center" wrapText="1"/>
    </xf>
    <xf numFmtId="0" fontId="4" fillId="5" borderId="5" applyNumberFormat="0" applyFont="1" applyFill="1" applyBorder="1" applyAlignment="1" applyProtection="0">
      <alignment vertical="top" wrapText="1"/>
    </xf>
    <xf numFmtId="49" fontId="4" fillId="7" borderId="6" applyNumberFormat="1" applyFont="1" applyFill="1" applyBorder="1" applyAlignment="1" applyProtection="0">
      <alignment horizontal="center" vertical="center" wrapText="1"/>
    </xf>
    <xf numFmtId="0" fontId="0" applyNumberFormat="1" applyFont="1" applyFill="0" applyBorder="0" applyAlignment="1" applyProtection="0">
      <alignment vertical="top" wrapText="1"/>
    </xf>
    <xf numFmtId="49" fontId="4" fillId="4" borderId="8" applyNumberFormat="1" applyFont="1" applyFill="1" applyBorder="1" applyAlignment="1" applyProtection="0">
      <alignment vertical="top" wrapText="1"/>
    </xf>
    <xf numFmtId="0" fontId="4" fillId="4" borderId="8" applyNumberFormat="0" applyFont="1" applyFill="1" applyBorder="1" applyAlignment="1" applyProtection="0">
      <alignment vertical="top" wrapText="1"/>
    </xf>
    <xf numFmtId="49" fontId="4" fillId="5" borderId="8" applyNumberFormat="1" applyFont="1" applyFill="1" applyBorder="1" applyAlignment="1" applyProtection="0">
      <alignment vertical="top" wrapText="1"/>
    </xf>
    <xf numFmtId="49" fontId="0" borderId="8" applyNumberFormat="1" applyFont="1" applyFill="0" applyBorder="1" applyAlignment="1" applyProtection="0">
      <alignment vertical="top" wrapText="1"/>
    </xf>
    <xf numFmtId="59" fontId="0" borderId="8" applyNumberFormat="1" applyFont="1" applyFill="0" applyBorder="1" applyAlignment="1" applyProtection="0">
      <alignment vertical="top" wrapText="1"/>
    </xf>
    <xf numFmtId="61" fontId="4" fillId="11" borderId="8" applyNumberFormat="1" applyFont="1" applyFill="1" applyBorder="1" applyAlignment="1" applyProtection="0">
      <alignment horizontal="center" vertical="center" wrapText="1"/>
    </xf>
    <xf numFmtId="0" fontId="0" borderId="8" applyNumberFormat="0" applyFont="1" applyFill="0" applyBorder="1" applyAlignment="1" applyProtection="0">
      <alignment vertical="top" wrapText="1"/>
    </xf>
    <xf numFmtId="61" fontId="4" fillId="12" borderId="8" applyNumberFormat="1" applyFont="1" applyFill="1" applyBorder="1" applyAlignment="1" applyProtection="0">
      <alignment horizontal="center" vertical="center" wrapText="1"/>
    </xf>
    <xf numFmtId="61" fontId="0" fillId="13" borderId="8" applyNumberFormat="1" applyFont="1" applyFill="1" applyBorder="1" applyAlignment="1" applyProtection="0">
      <alignment horizontal="center" vertical="center" wrapText="1"/>
    </xf>
    <xf numFmtId="0" fontId="4" fillId="5" borderId="8" applyNumberFormat="0" applyFont="1" applyFill="1" applyBorder="1" applyAlignment="1" applyProtection="0">
      <alignment vertical="top" wrapText="1"/>
    </xf>
    <xf numFmtId="49" fontId="4" fillId="5" borderId="9" applyNumberFormat="1" applyFont="1" applyFill="1" applyBorder="1" applyAlignment="1" applyProtection="0">
      <alignment vertical="top" wrapText="1"/>
    </xf>
    <xf numFmtId="0" fontId="0" fillId="14" borderId="10" applyNumberFormat="0" applyFont="1" applyFill="1" applyBorder="1" applyAlignment="1" applyProtection="0">
      <alignment vertical="top" wrapText="1"/>
    </xf>
    <xf numFmtId="59" fontId="4" fillId="14" borderId="11" applyNumberFormat="1" applyFont="1" applyFill="1" applyBorder="1" applyAlignment="1" applyProtection="0">
      <alignment vertical="top" wrapText="1"/>
    </xf>
    <xf numFmtId="59" fontId="4" fillId="14" borderId="12"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borderId="3" applyNumberFormat="0" applyFont="1" applyFill="0" applyBorder="1" applyAlignment="1" applyProtection="0">
      <alignment vertical="top" wrapText="1"/>
    </xf>
    <xf numFmtId="0" fontId="0" borderId="6" applyNumberFormat="0" applyFont="1" applyFill="0" applyBorder="1" applyAlignment="1" applyProtection="0">
      <alignment vertical="top" wrapText="1"/>
    </xf>
    <xf numFmtId="0" fontId="0" borderId="7"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f4f4f4"/>
      <rgbColor rgb="ff88f94e"/>
      <rgbColor rgb="fffefffe"/>
      <rgbColor rgb="ffb8b8b8"/>
      <rgbColor rgb="fff8ba00"/>
      <rgbColor rgb="fffe2500"/>
      <rgbColor rgb="ff22aeff"/>
      <rgbColor rgb="ff73dd4d"/>
      <rgbColor rgb="ffffde4d"/>
      <rgbColor rgb="fff9c321"/>
      <rgbColor rgb="ff56c1fe"/>
      <rgbColor rgb="ff72fce9"/>
      <rgbColor rgb="ffed220b"/>
      <rgbColor rgb="fffff056"/>
      <rgbColor rgb="ffff968c"/>
      <rgbColor rgb="ff16e6cf"/>
      <rgbColor rgb="ff1cb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 Id="rId24" Type="http://schemas.openxmlformats.org/officeDocument/2006/relationships/worksheet" Target="worksheets/sheet20.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Chart 1</a:t>
            </a:r>
          </a:p>
        </c:rich>
      </c:tx>
      <c:layout>
        <c:manualLayout>
          <c:xMode val="edge"/>
          <c:yMode val="edge"/>
          <c:x val="0.467662"/>
          <c:y val="0"/>
          <c:w val="0.0646766"/>
          <c:h val="0.0909482"/>
        </c:manualLayout>
      </c:layout>
      <c:overlay val="1"/>
      <c:spPr>
        <a:noFill/>
        <a:effectLst/>
      </c:spPr>
    </c:title>
    <c:autoTitleDeleted val="1"/>
    <c:plotArea>
      <c:layout>
        <c:manualLayout>
          <c:layoutTarget val="inner"/>
          <c:xMode val="edge"/>
          <c:yMode val="edge"/>
          <c:x val="0.137767"/>
          <c:y val="0.0909482"/>
          <c:w val="0.857233"/>
          <c:h val="0.736325"/>
        </c:manualLayout>
      </c:layout>
      <c:barChart>
        <c:barDir val="col"/>
        <c:grouping val="clustered"/>
        <c:varyColors val="0"/>
        <c:ser>
          <c:idx val="0"/>
          <c:order val="0"/>
          <c:tx>
            <c:strRef>
              <c:f>'SALES FROM TH EMONTH OF MAY - S'!$C$3</c:f>
              <c:strCache>
                <c:ptCount val="1"/>
                <c:pt idx="0">
                  <c:v>FOODS</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'SALES FROM TH EMONTH OF MAY - S'!$B$4:$B$16</c:f>
              <c:strCache>
                <c:ptCount val="13"/>
                <c:pt idx="0">
                  <c:v>JAN</c:v>
                </c:pt>
                <c:pt idx="1">
                  <c:v>FEB</c:v>
                </c:pt>
                <c:pt idx="2">
                  <c:v>MAR</c:v>
                </c:pt>
                <c:pt idx="3">
                  <c:v>APRIL</c:v>
                </c:pt>
                <c:pt idx="4">
                  <c:v>MAY</c:v>
                </c:pt>
                <c:pt idx="5">
                  <c:v>JUNE</c:v>
                </c:pt>
                <c:pt idx="6">
                  <c:v>JULY</c:v>
                </c:pt>
                <c:pt idx="7">
                  <c:v>AUG</c:v>
                </c:pt>
                <c:pt idx="8">
                  <c:v>SEPT</c:v>
                </c:pt>
                <c:pt idx="9">
                  <c:v>OCT</c:v>
                </c:pt>
                <c:pt idx="10">
                  <c:v>NOV</c:v>
                </c:pt>
                <c:pt idx="11">
                  <c:v>DEC</c:v>
                </c:pt>
                <c:pt idx="12">
                  <c:v>TOTAL</c:v>
                </c:pt>
              </c:strCache>
            </c:strRef>
          </c:cat>
          <c:val>
            <c:numRef>
              <c:f>'SALES FROM TH EMONTH OF MAY - S'!$C$4:$C$15</c:f>
              <c:numCache>
                <c:ptCount val="9"/>
                <c:pt idx="2">
                  <c:v>85204.760000</c:v>
                </c:pt>
                <c:pt idx="3">
                  <c:v>58493.330000</c:v>
                </c:pt>
                <c:pt idx="4">
                  <c:v>50057.000000</c:v>
                </c:pt>
                <c:pt idx="5">
                  <c:v>29474.290000</c:v>
                </c:pt>
                <c:pt idx="6">
                  <c:v>25107.000000</c:v>
                </c:pt>
                <c:pt idx="7">
                  <c:v>21436.400000</c:v>
                </c:pt>
                <c:pt idx="8">
                  <c:v>22675.000000</c:v>
                </c:pt>
                <c:pt idx="9">
                  <c:v>21982.000000</c:v>
                </c:pt>
                <c:pt idx="10">
                  <c:v>18863.800000</c:v>
                </c:pt>
              </c:numCache>
            </c:numRef>
          </c:val>
        </c:ser>
        <c:ser>
          <c:idx val="1"/>
          <c:order val="1"/>
          <c:tx>
            <c:strRef>
              <c:f>'SALES FROM TH EMONTH OF MAY - S'!$D$3</c:f>
              <c:strCache>
                <c:ptCount val="1"/>
                <c:pt idx="0">
                  <c:v>DRINKS</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'SALES FROM TH EMONTH OF MAY - S'!$B$4:$B$16</c:f>
              <c:strCache>
                <c:ptCount val="13"/>
                <c:pt idx="0">
                  <c:v>JAN</c:v>
                </c:pt>
                <c:pt idx="1">
                  <c:v>FEB</c:v>
                </c:pt>
                <c:pt idx="2">
                  <c:v>MAR</c:v>
                </c:pt>
                <c:pt idx="3">
                  <c:v>APRIL</c:v>
                </c:pt>
                <c:pt idx="4">
                  <c:v>MAY</c:v>
                </c:pt>
                <c:pt idx="5">
                  <c:v>JUNE</c:v>
                </c:pt>
                <c:pt idx="6">
                  <c:v>JULY</c:v>
                </c:pt>
                <c:pt idx="7">
                  <c:v>AUG</c:v>
                </c:pt>
                <c:pt idx="8">
                  <c:v>SEPT</c:v>
                </c:pt>
                <c:pt idx="9">
                  <c:v>OCT</c:v>
                </c:pt>
                <c:pt idx="10">
                  <c:v>NOV</c:v>
                </c:pt>
                <c:pt idx="11">
                  <c:v>DEC</c:v>
                </c:pt>
                <c:pt idx="12">
                  <c:v>TOTAL</c:v>
                </c:pt>
              </c:strCache>
            </c:strRef>
          </c:cat>
          <c:val>
            <c:numRef>
              <c:f>'SALES FROM TH EMONTH OF MAY - S'!$D$4:$D$15</c:f>
              <c:numCache>
                <c:ptCount val="9"/>
                <c:pt idx="2">
                  <c:v>167386.670000</c:v>
                </c:pt>
                <c:pt idx="3">
                  <c:v>109820.000000</c:v>
                </c:pt>
                <c:pt idx="4">
                  <c:v>90270.000000</c:v>
                </c:pt>
                <c:pt idx="5">
                  <c:v>45245.900000</c:v>
                </c:pt>
                <c:pt idx="6">
                  <c:v>36420.950000</c:v>
                </c:pt>
                <c:pt idx="7">
                  <c:v>49306.400000</c:v>
                </c:pt>
                <c:pt idx="8">
                  <c:v>26826.520000</c:v>
                </c:pt>
                <c:pt idx="9">
                  <c:v>30870.960000</c:v>
                </c:pt>
                <c:pt idx="10">
                  <c:v>32391.890000</c:v>
                </c:pt>
              </c:numCache>
            </c:numRef>
          </c:val>
        </c:ser>
        <c:ser>
          <c:idx val="2"/>
          <c:order val="2"/>
          <c:tx>
            <c:strRef>
              <c:f>'SALES FROM TH EMONTH OF MAY - S'!$E$3</c:f>
              <c:strCache>
                <c:ptCount val="1"/>
                <c:pt idx="0">
                  <c:v>ADD ONS</c:v>
                </c:pt>
              </c:strCache>
            </c:strRef>
          </c:tx>
          <c:spPr>
            <a:solidFill>
              <a:schemeClr val="accent4"/>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'SALES FROM TH EMONTH OF MAY - S'!$B$4:$B$16</c:f>
              <c:strCache>
                <c:ptCount val="13"/>
                <c:pt idx="0">
                  <c:v>JAN</c:v>
                </c:pt>
                <c:pt idx="1">
                  <c:v>FEB</c:v>
                </c:pt>
                <c:pt idx="2">
                  <c:v>MAR</c:v>
                </c:pt>
                <c:pt idx="3">
                  <c:v>APRIL</c:v>
                </c:pt>
                <c:pt idx="4">
                  <c:v>MAY</c:v>
                </c:pt>
                <c:pt idx="5">
                  <c:v>JUNE</c:v>
                </c:pt>
                <c:pt idx="6">
                  <c:v>JULY</c:v>
                </c:pt>
                <c:pt idx="7">
                  <c:v>AUG</c:v>
                </c:pt>
                <c:pt idx="8">
                  <c:v>SEPT</c:v>
                </c:pt>
                <c:pt idx="9">
                  <c:v>OCT</c:v>
                </c:pt>
                <c:pt idx="10">
                  <c:v>NOV</c:v>
                </c:pt>
                <c:pt idx="11">
                  <c:v>DEC</c:v>
                </c:pt>
                <c:pt idx="12">
                  <c:v>TOTAL</c:v>
                </c:pt>
              </c:strCache>
            </c:strRef>
          </c:cat>
          <c:val>
            <c:numRef>
              <c:f>'SALES FROM TH EMONTH OF MAY - S'!$E$4:$E$16</c:f>
              <c:numCache>
                <c:ptCount val="10"/>
                <c:pt idx="2">
                  <c:v>1785.710000</c:v>
                </c:pt>
                <c:pt idx="3">
                  <c:v>566.000000</c:v>
                </c:pt>
                <c:pt idx="4">
                  <c:v>4248.000000</c:v>
                </c:pt>
                <c:pt idx="5">
                  <c:v>888.570000</c:v>
                </c:pt>
                <c:pt idx="6">
                  <c:v>2765.000000</c:v>
                </c:pt>
                <c:pt idx="7">
                  <c:v>467.000000</c:v>
                </c:pt>
                <c:pt idx="8">
                  <c:v>1966.480000</c:v>
                </c:pt>
                <c:pt idx="9">
                  <c:v>2534.040000</c:v>
                </c:pt>
                <c:pt idx="10">
                  <c:v>2249.410000</c:v>
                </c:pt>
                <c:pt idx="12">
                  <c:v>17470.210000</c:v>
                </c:pt>
              </c:numCache>
            </c:numRef>
          </c:val>
        </c:ser>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45000"/>
        <c:minorUnit val="22500"/>
      </c:valAx>
      <c:spPr>
        <a:noFill/>
        <a:ln w="12700" cap="flat">
          <a:noFill/>
          <a:miter lim="400000"/>
        </a:ln>
        <a:effectLst/>
      </c:spPr>
    </c:plotArea>
    <c:legend>
      <c:legendPos val="b"/>
      <c:layout>
        <c:manualLayout>
          <c:xMode val="edge"/>
          <c:yMode val="edge"/>
          <c:x val="0.28781"/>
          <c:y val="0.945508"/>
          <c:w val="0.536193"/>
          <c:h val="0.0544915"/>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Chart 1</a:t>
            </a:r>
          </a:p>
        </c:rich>
      </c:tx>
      <c:layout>
        <c:manualLayout>
          <c:xMode val="edge"/>
          <c:yMode val="edge"/>
          <c:x val="0.470828"/>
          <c:y val="0"/>
          <c:w val="0.0583449"/>
          <c:h val="0.087283"/>
        </c:manualLayout>
      </c:layout>
      <c:overlay val="1"/>
      <c:spPr>
        <a:noFill/>
        <a:effectLst/>
      </c:spPr>
    </c:title>
    <c:autoTitleDeleted val="1"/>
    <c:plotArea>
      <c:layout>
        <c:manualLayout>
          <c:layoutTarget val="inner"/>
          <c:xMode val="edge"/>
          <c:yMode val="edge"/>
          <c:x val="0.116081"/>
          <c:y val="0.087283"/>
          <c:w val="0.878919"/>
          <c:h val="0.706148"/>
        </c:manualLayout>
      </c:layout>
      <c:barChart>
        <c:barDir val="col"/>
        <c:grouping val="clustered"/>
        <c:varyColors val="0"/>
        <c:ser>
          <c:idx val="0"/>
          <c:order val="0"/>
          <c:tx>
            <c:strRef>
              <c:f>'DAY WISE REPORT-1 - Table 1'!$B$2</c:f>
              <c:strCache>
                <c:ptCount val="1"/>
                <c:pt idx="0">
                  <c:v>MONDAY</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'DAY WISE REPORT-1 - Table 1'!$A$3:$A$14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'DAY WISE REPORT-1 - Table 1'!$B$3:$B$14</c:f>
              <c:numCache>
                <c:ptCount val="9"/>
                <c:pt idx="2">
                  <c:v>19093.000000</c:v>
                </c:pt>
                <c:pt idx="3">
                  <c:v>12918.000000</c:v>
                </c:pt>
                <c:pt idx="4">
                  <c:v>14932.000000</c:v>
                </c:pt>
                <c:pt idx="5">
                  <c:v>12237.000000</c:v>
                </c:pt>
                <c:pt idx="6">
                  <c:v>10649.000000</c:v>
                </c:pt>
                <c:pt idx="7">
                  <c:v>6257.000000</c:v>
                </c:pt>
                <c:pt idx="8">
                  <c:v>6024.000000</c:v>
                </c:pt>
                <c:pt idx="9">
                  <c:v>9830.000000</c:v>
                </c:pt>
                <c:pt idx="10">
                  <c:v>8258.000000</c:v>
                </c:pt>
              </c:numCache>
            </c:numRef>
          </c:val>
        </c:ser>
        <c:ser>
          <c:idx val="1"/>
          <c:order val="1"/>
          <c:tx>
            <c:strRef>
              <c:f>'DAY WISE REPORT-1 - Table 1'!$C$2</c:f>
              <c:strCache>
                <c:ptCount val="1"/>
                <c:pt idx="0">
                  <c:v>TUESDAY</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'DAY WISE REPORT-1 - Table 1'!$A$3:$A$14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'DAY WISE REPORT-1 - Table 1'!$C$3:$C$14</c:f>
              <c:numCache>
                <c:ptCount val="9"/>
                <c:pt idx="2">
                  <c:v>21518.000000</c:v>
                </c:pt>
                <c:pt idx="3">
                  <c:v>11124.000000</c:v>
                </c:pt>
                <c:pt idx="4">
                  <c:v>15167.000000</c:v>
                </c:pt>
                <c:pt idx="5">
                  <c:v>8319.000000</c:v>
                </c:pt>
                <c:pt idx="6">
                  <c:v>9476.000000</c:v>
                </c:pt>
                <c:pt idx="7">
                  <c:v>5380.000000</c:v>
                </c:pt>
                <c:pt idx="8">
                  <c:v>6712.000000</c:v>
                </c:pt>
                <c:pt idx="9">
                  <c:v>9162.000000</c:v>
                </c:pt>
                <c:pt idx="10">
                  <c:v>7567.000000</c:v>
                </c:pt>
              </c:numCache>
            </c:numRef>
          </c:val>
        </c:ser>
        <c:ser>
          <c:idx val="2"/>
          <c:order val="2"/>
          <c:tx>
            <c:strRef>
              <c:f>'DAY WISE REPORT-1 - Table 1'!$D$2</c:f>
              <c:strCache>
                <c:ptCount val="1"/>
                <c:pt idx="0">
                  <c:v>WEDNESDAY</c:v>
                </c:pt>
              </c:strCache>
            </c:strRef>
          </c:tx>
          <c:spPr>
            <a:solidFill>
              <a:schemeClr val="accent4"/>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'DAY WISE REPORT-1 - Table 1'!$A$3:$A$14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'DAY WISE REPORT-1 - Table 1'!$D$3:$D$14</c:f>
              <c:numCache>
                <c:ptCount val="9"/>
                <c:pt idx="2">
                  <c:v>21985.000000</c:v>
                </c:pt>
                <c:pt idx="3">
                  <c:v>12843.000000</c:v>
                </c:pt>
                <c:pt idx="4">
                  <c:v>18017.000000</c:v>
                </c:pt>
                <c:pt idx="5">
                  <c:v>10055.000000</c:v>
                </c:pt>
                <c:pt idx="6">
                  <c:v>9681.000000</c:v>
                </c:pt>
                <c:pt idx="7">
                  <c:v>7498.000000</c:v>
                </c:pt>
                <c:pt idx="8">
                  <c:v>5508.000000</c:v>
                </c:pt>
                <c:pt idx="9">
                  <c:v>6805.000000</c:v>
                </c:pt>
                <c:pt idx="10">
                  <c:v>6076.000000</c:v>
                </c:pt>
              </c:numCache>
            </c:numRef>
          </c:val>
        </c:ser>
        <c:ser>
          <c:idx val="3"/>
          <c:order val="3"/>
          <c:tx>
            <c:strRef>
              <c:f>'DAY WISE REPORT-1 - Table 1'!$E$2</c:f>
              <c:strCache>
                <c:ptCount val="1"/>
                <c:pt idx="0">
                  <c:v>THURSDAY</c:v>
                </c:pt>
              </c:strCache>
            </c:strRef>
          </c:tx>
          <c:spPr>
            <a:solidFill>
              <a:srgbClr val="F8BA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'DAY WISE REPORT-1 - Table 1'!$A$3:$A$14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'DAY WISE REPORT-1 - Table 1'!$E$3:$E$14</c:f>
              <c:numCache>
                <c:ptCount val="9"/>
                <c:pt idx="2">
                  <c:v>28388.000000</c:v>
                </c:pt>
                <c:pt idx="3">
                  <c:v>30638.000000</c:v>
                </c:pt>
                <c:pt idx="4">
                  <c:v>28373.000000</c:v>
                </c:pt>
                <c:pt idx="5">
                  <c:v>10453.000000</c:v>
                </c:pt>
                <c:pt idx="6">
                  <c:v>7298.000000</c:v>
                </c:pt>
                <c:pt idx="7">
                  <c:v>6683.000000</c:v>
                </c:pt>
                <c:pt idx="8">
                  <c:v>7825.000000</c:v>
                </c:pt>
                <c:pt idx="9">
                  <c:v>7123.000000</c:v>
                </c:pt>
                <c:pt idx="10">
                  <c:v>7014.000000</c:v>
                </c:pt>
              </c:numCache>
            </c:numRef>
          </c:val>
        </c:ser>
        <c:ser>
          <c:idx val="4"/>
          <c:order val="4"/>
          <c:tx>
            <c:strRef>
              <c:f>'DAY WISE REPORT-1 - Table 1'!$F$2</c:f>
              <c:strCache>
                <c:ptCount val="1"/>
                <c:pt idx="0">
                  <c:v>FRIDAY</c:v>
                </c:pt>
              </c:strCache>
            </c:strRef>
          </c:tx>
          <c:spPr>
            <a:solidFill>
              <a:srgbClr val="FF26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'DAY WISE REPORT-1 - Table 1'!$A$3:$A$14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'DAY WISE REPORT-1 - Table 1'!$F$3:$F$14</c:f>
              <c:numCache>
                <c:ptCount val="9"/>
                <c:pt idx="2">
                  <c:v>24875.000000</c:v>
                </c:pt>
                <c:pt idx="3">
                  <c:v>18337.000000</c:v>
                </c:pt>
                <c:pt idx="4">
                  <c:v>24315.000000</c:v>
                </c:pt>
                <c:pt idx="5">
                  <c:v>13444.000000</c:v>
                </c:pt>
                <c:pt idx="6">
                  <c:v>11014.000000</c:v>
                </c:pt>
                <c:pt idx="7">
                  <c:v>7487.000000</c:v>
                </c:pt>
                <c:pt idx="8">
                  <c:v>8303.000000</c:v>
                </c:pt>
                <c:pt idx="9">
                  <c:v>6609.000000</c:v>
                </c:pt>
                <c:pt idx="10">
                  <c:v>7807.000000</c:v>
                </c:pt>
              </c:numCache>
            </c:numRef>
          </c:val>
        </c:ser>
        <c:ser>
          <c:idx val="5"/>
          <c:order val="5"/>
          <c:tx>
            <c:strRef>
              <c:f>'DAY WISE REPORT-1 - Table 1'!$G$2</c:f>
              <c:strCache>
                <c:ptCount val="1"/>
                <c:pt idx="0">
                  <c:v>SATURDAY</c:v>
                </c:pt>
              </c:strCache>
            </c:strRef>
          </c:tx>
          <c:spPr>
            <a:solidFill>
              <a:schemeClr val="accent6">
                <a:satOff val="-20754"/>
                <a:lumOff val="-16738"/>
              </a:schemeClr>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'DAY WISE REPORT-1 - Table 1'!$A$3:$A$14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'DAY WISE REPORT-1 - Table 1'!$G$3:$G$14</c:f>
              <c:numCache>
                <c:ptCount val="9"/>
                <c:pt idx="2">
                  <c:v>25561.000000</c:v>
                </c:pt>
                <c:pt idx="3">
                  <c:v>26153.000000</c:v>
                </c:pt>
                <c:pt idx="4">
                  <c:v>22503.000000</c:v>
                </c:pt>
                <c:pt idx="5">
                  <c:v>9625.000000</c:v>
                </c:pt>
                <c:pt idx="6">
                  <c:v>13700.000000</c:v>
                </c:pt>
                <c:pt idx="7">
                  <c:v>10902.000000</c:v>
                </c:pt>
                <c:pt idx="8">
                  <c:v>9667.000000</c:v>
                </c:pt>
                <c:pt idx="9">
                  <c:v>7777.000000</c:v>
                </c:pt>
                <c:pt idx="10">
                  <c:v>7863.000000</c:v>
                </c:pt>
              </c:numCache>
            </c:numRef>
          </c:val>
        </c:ser>
        <c:ser>
          <c:idx val="6"/>
          <c:order val="6"/>
          <c:tx>
            <c:strRef>
              <c:f>'DAY WISE REPORT-1 - Table 1'!$H$2</c:f>
              <c:strCache>
                <c:ptCount val="1"/>
                <c:pt idx="0">
                  <c:v>SUNDAY</c:v>
                </c:pt>
              </c:strCache>
            </c:strRef>
          </c:tx>
          <c:spPr>
            <a:solidFill>
              <a:srgbClr val="22AEFF"/>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'DAY WISE REPORT-1 - Table 1'!$A$3:$A$14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'DAY WISE REPORT-1 - Table 1'!$H$3:$H$14</c:f>
              <c:numCache>
                <c:ptCount val="9"/>
                <c:pt idx="2">
                  <c:v>25182.000000</c:v>
                </c:pt>
                <c:pt idx="3">
                  <c:v>23279.000000</c:v>
                </c:pt>
                <c:pt idx="4">
                  <c:v>22348.000000</c:v>
                </c:pt>
                <c:pt idx="5">
                  <c:v>17613.000000</c:v>
                </c:pt>
                <c:pt idx="6">
                  <c:v>11079.000000</c:v>
                </c:pt>
                <c:pt idx="7">
                  <c:v>6778.000000</c:v>
                </c:pt>
                <c:pt idx="8">
                  <c:v>11783.000000</c:v>
                </c:pt>
                <c:pt idx="9">
                  <c:v>5595.000000</c:v>
                </c:pt>
                <c:pt idx="10">
                  <c:v>5762.000000</c:v>
                </c:pt>
              </c:numCache>
            </c:numRef>
          </c:val>
        </c:ser>
        <c:gapWidth val="40"/>
        <c:overlap val="-10"/>
        <c:axId val="2094734552"/>
        <c:axId val="2094734553"/>
      </c:barChart>
      <c:catAx>
        <c:axId val="2094734552"/>
        <c:scaling>
          <c:orientation val="minMax"/>
        </c:scaling>
        <c:delete val="0"/>
        <c:axPos val="b"/>
        <c:numFmt formatCode="[$AED]#,##0.0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AED]#,##0.0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10000"/>
        <c:minorUnit val="5000"/>
      </c:valAx>
      <c:spPr>
        <a:noFill/>
        <a:ln w="12700" cap="flat">
          <a:noFill/>
          <a:miter lim="400000"/>
        </a:ln>
        <a:effectLst/>
      </c:spPr>
    </c:plotArea>
    <c:legend>
      <c:legendPos val="b"/>
      <c:layout>
        <c:manualLayout>
          <c:xMode val="edge"/>
          <c:yMode val="edge"/>
          <c:x val="0.310415"/>
          <c:y val="0.906901"/>
          <c:w val="0.4837"/>
          <c:h val="0.0930986"/>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Chart 1</a:t>
            </a:r>
          </a:p>
        </c:rich>
      </c:tx>
      <c:layout>
        <c:manualLayout>
          <c:xMode val="edge"/>
          <c:yMode val="edge"/>
          <c:x val="0.451807"/>
          <c:y val="0"/>
          <c:w val="0.0963863"/>
          <c:h val="0.087283"/>
        </c:manualLayout>
      </c:layout>
      <c:overlay val="1"/>
      <c:spPr>
        <a:noFill/>
        <a:effectLst/>
      </c:spPr>
    </c:title>
    <c:autoTitleDeleted val="1"/>
    <c:plotArea>
      <c:layout>
        <c:manualLayout>
          <c:layoutTarget val="inner"/>
          <c:xMode val="edge"/>
          <c:yMode val="edge"/>
          <c:x val="0.205312"/>
          <c:y val="0.087283"/>
          <c:w val="0.789688"/>
          <c:h val="0.706148"/>
        </c:manualLayout>
      </c:layout>
      <c:barChart>
        <c:barDir val="col"/>
        <c:grouping val="clustered"/>
        <c:varyColors val="0"/>
        <c:ser>
          <c:idx val="0"/>
          <c:order val="0"/>
          <c:tx>
            <c:strRef>
              <c:f>'DAY WISE REPORT-1 - DAILY-SALE '!$A$3</c:f>
              <c:strCache>
                <c:ptCount val="1"/>
                <c:pt idx="0">
                  <c:v>MONDAY</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'DAY WISE REPORT-1 - DAILY-SALE '!$B$2</c:f>
              <c:strCache>
                <c:ptCount val="1"/>
                <c:pt idx="0">
                  <c:v>Daily Sales </c:v>
                </c:pt>
              </c:strCache>
            </c:strRef>
          </c:cat>
          <c:val>
            <c:numRef>
              <c:f>'DAY WISE REPORT-1 - DAILY-SALE '!$B$3:$B$3</c:f>
              <c:numCache>
                <c:ptCount val="1"/>
                <c:pt idx="0">
                  <c:v>100198.000000</c:v>
                </c:pt>
              </c:numCache>
            </c:numRef>
          </c:val>
        </c:ser>
        <c:ser>
          <c:idx val="1"/>
          <c:order val="1"/>
          <c:tx>
            <c:strRef>
              <c:f>'DAY WISE REPORT-1 - DAILY-SALE '!$A$4</c:f>
              <c:strCache>
                <c:ptCount val="1"/>
                <c:pt idx="0">
                  <c:v>TUESDAY</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'DAY WISE REPORT-1 - DAILY-SALE '!$B$2</c:f>
              <c:strCache>
                <c:ptCount val="1"/>
                <c:pt idx="0">
                  <c:v>Daily Sales </c:v>
                </c:pt>
              </c:strCache>
            </c:strRef>
          </c:cat>
          <c:val>
            <c:numRef>
              <c:f>'DAY WISE REPORT-1 - DAILY-SALE '!$B$4:$B$4</c:f>
              <c:numCache>
                <c:ptCount val="1"/>
                <c:pt idx="0">
                  <c:v>94425.000000</c:v>
                </c:pt>
              </c:numCache>
            </c:numRef>
          </c:val>
        </c:ser>
        <c:ser>
          <c:idx val="2"/>
          <c:order val="2"/>
          <c:tx>
            <c:strRef>
              <c:f>'DAY WISE REPORT-1 - DAILY-SALE '!$A$5</c:f>
              <c:strCache>
                <c:ptCount val="1"/>
                <c:pt idx="0">
                  <c:v>WEDNESDAY</c:v>
                </c:pt>
              </c:strCache>
            </c:strRef>
          </c:tx>
          <c:spPr>
            <a:solidFill>
              <a:schemeClr val="accent4"/>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'DAY WISE REPORT-1 - DAILY-SALE '!$B$2</c:f>
              <c:strCache>
                <c:ptCount val="1"/>
                <c:pt idx="0">
                  <c:v>Daily Sales </c:v>
                </c:pt>
              </c:strCache>
            </c:strRef>
          </c:cat>
          <c:val>
            <c:numRef>
              <c:f>'DAY WISE REPORT-1 - DAILY-SALE '!$B$5:$B$5</c:f>
              <c:numCache>
                <c:ptCount val="1"/>
                <c:pt idx="0">
                  <c:v>98468.000000</c:v>
                </c:pt>
              </c:numCache>
            </c:numRef>
          </c:val>
        </c:ser>
        <c:ser>
          <c:idx val="3"/>
          <c:order val="3"/>
          <c:tx>
            <c:strRef>
              <c:f>'DAY WISE REPORT-1 - DAILY-SALE '!$A$6</c:f>
              <c:strCache>
                <c:ptCount val="1"/>
                <c:pt idx="0">
                  <c:v>THURSDAY</c:v>
                </c:pt>
              </c:strCache>
            </c:strRef>
          </c:tx>
          <c:spPr>
            <a:solidFill>
              <a:srgbClr val="F8BA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'DAY WISE REPORT-1 - DAILY-SALE '!$B$2</c:f>
              <c:strCache>
                <c:ptCount val="1"/>
                <c:pt idx="0">
                  <c:v>Daily Sales </c:v>
                </c:pt>
              </c:strCache>
            </c:strRef>
          </c:cat>
          <c:val>
            <c:numRef>
              <c:f>'DAY WISE REPORT-1 - DAILY-SALE '!$B$6:$B$6</c:f>
              <c:numCache>
                <c:ptCount val="1"/>
                <c:pt idx="0">
                  <c:v>133795.000000</c:v>
                </c:pt>
              </c:numCache>
            </c:numRef>
          </c:val>
        </c:ser>
        <c:ser>
          <c:idx val="4"/>
          <c:order val="4"/>
          <c:tx>
            <c:strRef>
              <c:f>'DAY WISE REPORT-1 - DAILY-SALE '!$A$7</c:f>
              <c:strCache>
                <c:ptCount val="1"/>
                <c:pt idx="0">
                  <c:v>FRIDAY</c:v>
                </c:pt>
              </c:strCache>
            </c:strRef>
          </c:tx>
          <c:spPr>
            <a:solidFill>
              <a:srgbClr val="FF26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'DAY WISE REPORT-1 - DAILY-SALE '!$B$2</c:f>
              <c:strCache>
                <c:ptCount val="1"/>
                <c:pt idx="0">
                  <c:v>Daily Sales </c:v>
                </c:pt>
              </c:strCache>
            </c:strRef>
          </c:cat>
          <c:val>
            <c:numRef>
              <c:f>'DAY WISE REPORT-1 - DAILY-SALE '!$B$7:$B$7</c:f>
              <c:numCache>
                <c:ptCount val="1"/>
                <c:pt idx="0">
                  <c:v>122191.000000</c:v>
                </c:pt>
              </c:numCache>
            </c:numRef>
          </c:val>
        </c:ser>
        <c:ser>
          <c:idx val="5"/>
          <c:order val="5"/>
          <c:tx>
            <c:strRef>
              <c:f>'DAY WISE REPORT-1 - DAILY-SALE '!$A$8</c:f>
              <c:strCache>
                <c:ptCount val="1"/>
                <c:pt idx="0">
                  <c:v>SATURDAY</c:v>
                </c:pt>
              </c:strCache>
            </c:strRef>
          </c:tx>
          <c:spPr>
            <a:solidFill>
              <a:schemeClr val="accent6">
                <a:satOff val="-20754"/>
                <a:lumOff val="-16738"/>
              </a:schemeClr>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'DAY WISE REPORT-1 - DAILY-SALE '!$B$2</c:f>
              <c:strCache>
                <c:ptCount val="1"/>
                <c:pt idx="0">
                  <c:v>Daily Sales </c:v>
                </c:pt>
              </c:strCache>
            </c:strRef>
          </c:cat>
          <c:val>
            <c:numRef>
              <c:f>'DAY WISE REPORT-1 - DAILY-SALE '!$B$8:$B$8</c:f>
              <c:numCache>
                <c:ptCount val="1"/>
                <c:pt idx="0">
                  <c:v>133751.000000</c:v>
                </c:pt>
              </c:numCache>
            </c:numRef>
          </c:val>
        </c:ser>
        <c:ser>
          <c:idx val="6"/>
          <c:order val="6"/>
          <c:tx>
            <c:strRef>
              <c:f>'DAY WISE REPORT-1 - DAILY-SALE '!$A$9</c:f>
              <c:strCache>
                <c:ptCount val="1"/>
                <c:pt idx="0">
                  <c:v>SUNDAY</c:v>
                </c:pt>
              </c:strCache>
            </c:strRef>
          </c:tx>
          <c:spPr>
            <a:solidFill>
              <a:srgbClr val="22AEFF"/>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'DAY WISE REPORT-1 - DAILY-SALE '!$B$2</c:f>
              <c:strCache>
                <c:ptCount val="1"/>
                <c:pt idx="0">
                  <c:v>Daily Sales </c:v>
                </c:pt>
              </c:strCache>
            </c:strRef>
          </c:cat>
          <c:val>
            <c:numRef>
              <c:f>'DAY WISE REPORT-1 - DAILY-SALE '!$B$9:$B$9</c:f>
              <c:numCache>
                <c:ptCount val="1"/>
                <c:pt idx="0">
                  <c:v>129419.000000</c:v>
                </c:pt>
              </c:numCache>
            </c:numRef>
          </c:val>
        </c:ser>
        <c:gapWidth val="40"/>
        <c:overlap val="-10"/>
        <c:axId val="2094734552"/>
        <c:axId val="2094734553"/>
      </c:barChart>
      <c:catAx>
        <c:axId val="2094734552"/>
        <c:scaling>
          <c:orientation val="minMax"/>
        </c:scaling>
        <c:delete val="0"/>
        <c:axPos val="b"/>
        <c:numFmt formatCode="[$AED]#,##0.0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AED]#,##0.0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35000"/>
        <c:minorUnit val="17500"/>
      </c:valAx>
      <c:spPr>
        <a:noFill/>
        <a:ln w="12700" cap="flat">
          <a:noFill/>
          <a:miter lim="400000"/>
        </a:ln>
        <a:effectLst/>
      </c:spPr>
    </c:plotArea>
    <c:legend>
      <c:legendPos val="b"/>
      <c:layout>
        <c:manualLayout>
          <c:xMode val="edge"/>
          <c:yMode val="edge"/>
          <c:x val="0.158792"/>
          <c:y val="0.906901"/>
          <c:w val="0.799077"/>
          <c:h val="0.0930986"/>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4.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Chart 1</a:t>
            </a:r>
          </a:p>
        </c:rich>
      </c:tx>
      <c:layout>
        <c:manualLayout>
          <c:xMode val="edge"/>
          <c:yMode val="edge"/>
          <c:x val="0.470828"/>
          <c:y val="0"/>
          <c:w val="0.0583449"/>
          <c:h val="0.0909482"/>
        </c:manualLayout>
      </c:layout>
      <c:overlay val="1"/>
      <c:spPr>
        <a:noFill/>
        <a:effectLst/>
      </c:spPr>
    </c:title>
    <c:autoTitleDeleted val="1"/>
    <c:plotArea>
      <c:layout>
        <c:manualLayout>
          <c:layoutTarget val="inner"/>
          <c:xMode val="edge"/>
          <c:yMode val="edge"/>
          <c:x val="0.116081"/>
          <c:y val="0.0909482"/>
          <c:w val="0.878919"/>
          <c:h val="0.736325"/>
        </c:manualLayout>
      </c:layout>
      <c:barChart>
        <c:barDir val="col"/>
        <c:grouping val="clustered"/>
        <c:varyColors val="0"/>
        <c:ser>
          <c:idx val="0"/>
          <c:order val="0"/>
          <c:tx>
            <c:strRef>
              <c:f>'TIME WISE REPORT - TIME WISE SA'!$B$2</c:f>
              <c:strCache>
                <c:ptCount val="1"/>
                <c:pt idx="0">
                  <c:v>7am - 1pm</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'TIME WISE REPORT - TIME WISE SA'!$A$3</c:f>
              <c:strCache>
                <c:ptCount val="1"/>
                <c:pt idx="0">
                  <c:v>SALES PER HOUR</c:v>
                </c:pt>
              </c:strCache>
            </c:strRef>
          </c:cat>
          <c:val>
            <c:numRef>
              <c:f>'TIME WISE REPORT - TIME WISE SA'!$B$3:$B$3,#REF!,#REF!,#REF!,#REF!</c:f>
              <c:numCache>
                <c:ptCount val="1"/>
                <c:pt idx="0">
                  <c:v>21052.000000</c:v>
                </c:pt>
              </c:numCache>
            </c:numRef>
          </c:val>
        </c:ser>
        <c:ser>
          <c:idx val="1"/>
          <c:order val="1"/>
          <c:tx>
            <c:v>2pm - 7pm</c:v>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'TIME WISE REPORT - TIME WISE SA'!$A$3</c:f>
              <c:strCache>
                <c:ptCount val="1"/>
                <c:pt idx="0">
                  <c:v>SALES PER HOUR</c:v>
                </c:pt>
              </c:strCache>
            </c:strRef>
          </c:cat>
          <c:val>
            <c:numRef>
              <c:f>'TIME WISE REPORT - TIME WISE SA'!$C$3:$C$3,#REF!,#REF!,#REF!,#REF!</c:f>
              <c:numCache>
                <c:ptCount val="1"/>
                <c:pt idx="0">
                  <c:v>28398.000000</c:v>
                </c:pt>
              </c:numCache>
            </c:numRef>
          </c:val>
        </c:ser>
        <c:ser>
          <c:idx val="2"/>
          <c:order val="2"/>
          <c:tx>
            <c:strRef>
              <c:f>'TIME WISE REPORT - TIME WISE SA'!$D$2</c:f>
              <c:strCache>
                <c:ptCount val="1"/>
                <c:pt idx="0">
                  <c:v>8pm - 1am</c:v>
                </c:pt>
              </c:strCache>
            </c:strRef>
          </c:tx>
          <c:spPr>
            <a:solidFill>
              <a:schemeClr val="accent4"/>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'TIME WISE REPORT - TIME WISE SA'!$A$3</c:f>
              <c:strCache>
                <c:ptCount val="1"/>
                <c:pt idx="0">
                  <c:v>SALES PER HOUR</c:v>
                </c:pt>
              </c:strCache>
            </c:strRef>
          </c:cat>
          <c:val>
            <c:numRef>
              <c:f>'TIME WISE REPORT - TIME WISE SA'!$D$3:$D$3</c:f>
              <c:numCache>
                <c:ptCount val="1"/>
                <c:pt idx="0">
                  <c:v>27922.000000</c:v>
                </c:pt>
              </c:numCache>
            </c:numRef>
          </c:val>
        </c:ser>
        <c:gapWidth val="40"/>
        <c:overlap val="-10"/>
        <c:axId val="2094734552"/>
        <c:axId val="2094734553"/>
      </c:barChart>
      <c:catAx>
        <c:axId val="2094734552"/>
        <c:scaling>
          <c:orientation val="minMax"/>
        </c:scaling>
        <c:delete val="0"/>
        <c:axPos val="b"/>
        <c:numFmt formatCode="[$AED]#,##0.0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AED]#,##0.0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7250"/>
        <c:minorUnit val="3625"/>
      </c:valAx>
      <c:spPr>
        <a:noFill/>
        <a:ln w="12700" cap="flat">
          <a:noFill/>
          <a:miter lim="400000"/>
        </a:ln>
        <a:effectLst/>
      </c:spPr>
    </c:plotArea>
    <c:legend>
      <c:legendPos val="b"/>
      <c:layout>
        <c:manualLayout>
          <c:xMode val="edge"/>
          <c:yMode val="edge"/>
          <c:x val="0.310415"/>
          <c:y val="0.945508"/>
          <c:w val="0.4837"/>
          <c:h val="0.0544915"/>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5.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Chart 1</a:t>
            </a:r>
          </a:p>
        </c:rich>
      </c:tx>
      <c:layout>
        <c:manualLayout>
          <c:xMode val="edge"/>
          <c:yMode val="edge"/>
          <c:x val="0.448748"/>
          <c:y val="0"/>
          <c:w val="0.102504"/>
          <c:h val="0.0839019"/>
        </c:manualLayout>
      </c:layout>
      <c:overlay val="1"/>
      <c:spPr>
        <a:noFill/>
        <a:effectLst/>
      </c:spPr>
    </c:title>
    <c:autoTitleDeleted val="1"/>
    <c:plotArea>
      <c:layout>
        <c:manualLayout>
          <c:layoutTarget val="inner"/>
          <c:xMode val="edge"/>
          <c:yMode val="edge"/>
          <c:x val="0.189534"/>
          <c:y val="0.0839019"/>
          <c:w val="0.805466"/>
          <c:h val="0.678309"/>
        </c:manualLayout>
      </c:layout>
      <c:barChart>
        <c:barDir val="col"/>
        <c:grouping val="clustered"/>
        <c:varyColors val="0"/>
        <c:ser>
          <c:idx val="0"/>
          <c:order val="0"/>
          <c:tx>
            <c:strRef>
              <c:f>'TOP 10 BEST SELLER - FOOD TOP 1'!$A$3</c:f>
              <c:strCache>
                <c:ptCount val="1"/>
                <c:pt idx="0">
                  <c:v>VANILLA CEREAL CAKE</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'TOP 10 BEST SELLER - FOOD TOP 1'!$B$2</c:f>
              <c:strCache>
                <c:ptCount val="1"/>
                <c:pt idx="0">
                  <c:v>TOTAL VALUE SOLD</c:v>
                </c:pt>
              </c:strCache>
            </c:strRef>
          </c:cat>
          <c:val>
            <c:numRef>
              <c:f>'TOP 10 BEST SELLER - FOOD TOP 1'!$B$3:$B$3</c:f>
              <c:numCache>
                <c:ptCount val="1"/>
                <c:pt idx="0">
                  <c:v>8360.000000</c:v>
                </c:pt>
              </c:numCache>
            </c:numRef>
          </c:val>
        </c:ser>
        <c:ser>
          <c:idx val="1"/>
          <c:order val="1"/>
          <c:tx>
            <c:strRef>
              <c:f>'TOP 10 BEST SELLER - FOOD TOP 1'!$A$4</c:f>
              <c:strCache>
                <c:ptCount val="1"/>
                <c:pt idx="0">
                  <c:v>DATES PUDDING</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'TOP 10 BEST SELLER - FOOD TOP 1'!$B$2</c:f>
              <c:strCache>
                <c:ptCount val="1"/>
                <c:pt idx="0">
                  <c:v>TOTAL VALUE SOLD</c:v>
                </c:pt>
              </c:strCache>
            </c:strRef>
          </c:cat>
          <c:val>
            <c:numRef>
              <c:f>'TOP 10 BEST SELLER - FOOD TOP 1'!$B$4:$B$4</c:f>
              <c:numCache>
                <c:ptCount val="1"/>
                <c:pt idx="0">
                  <c:v>7695.000000</c:v>
                </c:pt>
              </c:numCache>
            </c:numRef>
          </c:val>
        </c:ser>
        <c:ser>
          <c:idx val="2"/>
          <c:order val="2"/>
          <c:tx>
            <c:strRef>
              <c:f>'TOP 10 BEST SELLER - FOOD TOP 1'!$A$5</c:f>
              <c:strCache>
                <c:ptCount val="1"/>
                <c:pt idx="0">
                  <c:v>CHOCOLATE MOLTEN CAKE</c:v>
                </c:pt>
              </c:strCache>
            </c:strRef>
          </c:tx>
          <c:spPr>
            <a:solidFill>
              <a:schemeClr val="accent4"/>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'TOP 10 BEST SELLER - FOOD TOP 1'!$B$2</c:f>
              <c:strCache>
                <c:ptCount val="1"/>
                <c:pt idx="0">
                  <c:v>TOTAL VALUE SOLD</c:v>
                </c:pt>
              </c:strCache>
            </c:strRef>
          </c:cat>
          <c:val>
            <c:numRef>
              <c:f>'TOP 10 BEST SELLER - FOOD TOP 1'!$B$5:$B$5</c:f>
              <c:numCache>
                <c:ptCount val="1"/>
                <c:pt idx="0">
                  <c:v>6520.000000</c:v>
                </c:pt>
              </c:numCache>
            </c:numRef>
          </c:val>
        </c:ser>
        <c:ser>
          <c:idx val="3"/>
          <c:order val="3"/>
          <c:tx>
            <c:strRef>
              <c:f>'TOP 10 BEST SELLER - FOOD TOP 1'!$A$6</c:f>
              <c:strCache>
                <c:ptCount val="1"/>
                <c:pt idx="0">
                  <c:v>AVO ON TOAST</c:v>
                </c:pt>
              </c:strCache>
            </c:strRef>
          </c:tx>
          <c:spPr>
            <a:solidFill>
              <a:srgbClr val="F8BA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'TOP 10 BEST SELLER - FOOD TOP 1'!$B$2</c:f>
              <c:strCache>
                <c:ptCount val="1"/>
                <c:pt idx="0">
                  <c:v>TOTAL VALUE SOLD</c:v>
                </c:pt>
              </c:strCache>
            </c:strRef>
          </c:cat>
          <c:val>
            <c:numRef>
              <c:f>'TOP 10 BEST SELLER - FOOD TOP 1'!$B$6:$B$6</c:f>
              <c:numCache>
                <c:ptCount val="1"/>
                <c:pt idx="0">
                  <c:v>4702.000000</c:v>
                </c:pt>
              </c:numCache>
            </c:numRef>
          </c:val>
        </c:ser>
        <c:ser>
          <c:idx val="4"/>
          <c:order val="4"/>
          <c:tx>
            <c:strRef>
              <c:f>'TOP 10 BEST SELLER - FOOD TOP 1'!$A$7</c:f>
              <c:strCache>
                <c:ptCount val="1"/>
                <c:pt idx="0">
                  <c:v>HONEY TOAST</c:v>
                </c:pt>
              </c:strCache>
            </c:strRef>
          </c:tx>
          <c:spPr>
            <a:solidFill>
              <a:srgbClr val="FF26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'TOP 10 BEST SELLER - FOOD TOP 1'!$B$2</c:f>
              <c:strCache>
                <c:ptCount val="1"/>
                <c:pt idx="0">
                  <c:v>TOTAL VALUE SOLD</c:v>
                </c:pt>
              </c:strCache>
            </c:strRef>
          </c:cat>
          <c:val>
            <c:numRef>
              <c:f>'TOP 10 BEST SELLER - FOOD TOP 1'!$B$7:$B$7</c:f>
              <c:numCache>
                <c:ptCount val="1"/>
                <c:pt idx="0">
                  <c:v>3960.000000</c:v>
                </c:pt>
              </c:numCache>
            </c:numRef>
          </c:val>
        </c:ser>
        <c:gapWidth val="40"/>
        <c:overlap val="-10"/>
        <c:axId val="2094734552"/>
        <c:axId val="2094734553"/>
      </c:barChart>
      <c:catAx>
        <c:axId val="2094734552"/>
        <c:scaling>
          <c:orientation val="minMax"/>
        </c:scaling>
        <c:delete val="0"/>
        <c:axPos val="b"/>
        <c:numFmt formatCode="[$AED]#,##0.0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AED]#,##0.0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2250"/>
        <c:minorUnit val="1125"/>
      </c:valAx>
      <c:spPr>
        <a:noFill/>
        <a:ln w="12700" cap="flat">
          <a:noFill/>
          <a:miter lim="400000"/>
        </a:ln>
        <a:effectLst/>
      </c:spPr>
    </c:plotArea>
    <c:legend>
      <c:legendPos val="b"/>
      <c:layout>
        <c:manualLayout>
          <c:xMode val="edge"/>
          <c:yMode val="edge"/>
          <c:x val="0.120808"/>
          <c:y val="0.871285"/>
          <c:w val="0.849799"/>
          <c:h val="0.128715"/>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6.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240466"/>
          <c:y val="0.042286"/>
          <c:w val="0.575494"/>
          <c:h val="0.741577"/>
        </c:manualLayout>
      </c:layout>
      <c:barChart>
        <c:barDir val="col"/>
        <c:grouping val="clustered"/>
        <c:varyColors val="0"/>
        <c:ser>
          <c:idx val="0"/>
          <c:order val="0"/>
          <c:tx>
            <c:strRef>
              <c:f>'TOP 10 BEST SELLER - DRINKS TOP'!$A$3</c:f>
              <c:strCache>
                <c:ptCount val="1"/>
                <c:pt idx="0">
                  <c:v>HOT SPANISH</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'TOP 10 BEST SELLER - DRINKS TOP'!$B$2</c:f>
              <c:strCache>
                <c:ptCount val="1"/>
                <c:pt idx="0">
                  <c:v>TOTAL VALUE</c:v>
                </c:pt>
              </c:strCache>
            </c:strRef>
          </c:cat>
          <c:val>
            <c:numRef>
              <c:f>'TOP 10 BEST SELLER - DRINKS TOP'!$B$3:$B$3</c:f>
              <c:numCache>
                <c:ptCount val="1"/>
                <c:pt idx="0">
                  <c:v>12362.000000</c:v>
                </c:pt>
              </c:numCache>
            </c:numRef>
          </c:val>
        </c:ser>
        <c:ser>
          <c:idx val="1"/>
          <c:order val="1"/>
          <c:tx>
            <c:strRef>
              <c:f>'TOP 10 BEST SELLER - DRINKS TOP'!$A$4</c:f>
              <c:strCache>
                <c:ptCount val="1"/>
                <c:pt idx="0">
                  <c:v>ICE V60 PASSION FRUIT</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'TOP 10 BEST SELLER - DRINKS TOP'!$B$2</c:f>
              <c:strCache>
                <c:ptCount val="1"/>
                <c:pt idx="0">
                  <c:v>TOTAL VALUE</c:v>
                </c:pt>
              </c:strCache>
            </c:strRef>
          </c:cat>
          <c:val>
            <c:numRef>
              <c:f>'TOP 10 BEST SELLER - DRINKS TOP'!$B$4:$B$4</c:f>
              <c:numCache>
                <c:ptCount val="1"/>
                <c:pt idx="0">
                  <c:v>8910.000000</c:v>
                </c:pt>
              </c:numCache>
            </c:numRef>
          </c:val>
        </c:ser>
        <c:ser>
          <c:idx val="2"/>
          <c:order val="2"/>
          <c:tx>
            <c:strRef>
              <c:f>'TOP 10 BEST SELLER - DRINKS TOP'!$A$5</c:f>
              <c:strCache>
                <c:ptCount val="1"/>
                <c:pt idx="0">
                  <c:v>ICE SPANISH</c:v>
                </c:pt>
              </c:strCache>
            </c:strRef>
          </c:tx>
          <c:spPr>
            <a:solidFill>
              <a:schemeClr val="accent4"/>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'TOP 10 BEST SELLER - DRINKS TOP'!$B$2</c:f>
              <c:strCache>
                <c:ptCount val="1"/>
                <c:pt idx="0">
                  <c:v>TOTAL VALUE</c:v>
                </c:pt>
              </c:strCache>
            </c:strRef>
          </c:cat>
          <c:val>
            <c:numRef>
              <c:f>'TOP 10 BEST SELLER - DRINKS TOP'!$B$5:$B$5</c:f>
              <c:numCache>
                <c:ptCount val="1"/>
                <c:pt idx="0">
                  <c:v>7898.000000</c:v>
                </c:pt>
              </c:numCache>
            </c:numRef>
          </c:val>
        </c:ser>
        <c:ser>
          <c:idx val="3"/>
          <c:order val="3"/>
          <c:tx>
            <c:strRef>
              <c:f>'TOP 10 BEST SELLER - DRINKS TOP'!$A$6</c:f>
              <c:strCache>
                <c:ptCount val="1"/>
                <c:pt idx="0">
                  <c:v>ICE V60 ETHOPIA</c:v>
                </c:pt>
              </c:strCache>
            </c:strRef>
          </c:tx>
          <c:spPr>
            <a:solidFill>
              <a:srgbClr val="F8BA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'TOP 10 BEST SELLER - DRINKS TOP'!$B$2</c:f>
              <c:strCache>
                <c:ptCount val="1"/>
                <c:pt idx="0">
                  <c:v>TOTAL VALUE</c:v>
                </c:pt>
              </c:strCache>
            </c:strRef>
          </c:cat>
          <c:val>
            <c:numRef>
              <c:f>'TOP 10 BEST SELLER - DRINKS TOP'!$B$6:$B$6</c:f>
              <c:numCache>
                <c:ptCount val="1"/>
                <c:pt idx="0">
                  <c:v>7230.000000</c:v>
                </c:pt>
              </c:numCache>
            </c:numRef>
          </c:val>
        </c:ser>
        <c:ser>
          <c:idx val="4"/>
          <c:order val="4"/>
          <c:tx>
            <c:strRef>
              <c:f>'TOP 10 BEST SELLER - DRINKS TOP'!$A$7</c:f>
              <c:strCache>
                <c:ptCount val="1"/>
                <c:pt idx="0">
                  <c:v>ICE MATCHA</c:v>
                </c:pt>
              </c:strCache>
            </c:strRef>
          </c:tx>
          <c:spPr>
            <a:solidFill>
              <a:srgbClr val="FF26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'TOP 10 BEST SELLER - DRINKS TOP'!$B$2</c:f>
              <c:strCache>
                <c:ptCount val="1"/>
                <c:pt idx="0">
                  <c:v>TOTAL VALUE</c:v>
                </c:pt>
              </c:strCache>
            </c:strRef>
          </c:cat>
          <c:val>
            <c:numRef>
              <c:f>'TOP 10 BEST SELLER - DRINKS TOP'!$B$7:$B$7</c:f>
              <c:numCache>
                <c:ptCount val="1"/>
                <c:pt idx="0">
                  <c:v>5981.000000</c:v>
                </c:pt>
              </c:numCache>
            </c:numRef>
          </c:val>
        </c:ser>
        <c:ser>
          <c:idx val="5"/>
          <c:order val="5"/>
          <c:tx>
            <c:strRef>
              <c:f>'TOP 10 BEST SELLER - DRINKS TOP'!$A$8</c:f>
              <c:strCache>
                <c:ptCount val="1"/>
                <c:pt idx="0">
                  <c:v>FLAT WHITE</c:v>
                </c:pt>
              </c:strCache>
            </c:strRef>
          </c:tx>
          <c:spPr>
            <a:solidFill>
              <a:schemeClr val="accent6">
                <a:satOff val="-20754"/>
                <a:lumOff val="-16738"/>
              </a:schemeClr>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'TOP 10 BEST SELLER - DRINKS TOP'!$B$2</c:f>
              <c:strCache>
                <c:ptCount val="1"/>
                <c:pt idx="0">
                  <c:v>TOTAL VALUE</c:v>
                </c:pt>
              </c:strCache>
            </c:strRef>
          </c:cat>
          <c:val>
            <c:numRef>
              <c:f>'TOP 10 BEST SELLER - DRINKS TOP'!$B$8:$B$8</c:f>
              <c:numCache>
                <c:ptCount val="1"/>
                <c:pt idx="0">
                  <c:v>5410.000000</c:v>
                </c:pt>
              </c:numCache>
            </c:numRef>
          </c:val>
        </c:ser>
        <c:ser>
          <c:idx val="6"/>
          <c:order val="6"/>
          <c:tx>
            <c:strRef>
              <c:f>'TOP 10 BEST SELLER - DRINKS TOP'!$A$9</c:f>
              <c:strCache>
                <c:ptCount val="1"/>
                <c:pt idx="0">
                  <c:v>HIBISCUS</c:v>
                </c:pt>
              </c:strCache>
            </c:strRef>
          </c:tx>
          <c:spPr>
            <a:solidFill>
              <a:srgbClr val="22AEFF"/>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'TOP 10 BEST SELLER - DRINKS TOP'!$B$2</c:f>
              <c:strCache>
                <c:ptCount val="1"/>
                <c:pt idx="0">
                  <c:v>TOTAL VALUE</c:v>
                </c:pt>
              </c:strCache>
            </c:strRef>
          </c:cat>
          <c:val>
            <c:numRef>
              <c:f>'TOP 10 BEST SELLER - DRINKS TOP'!$B$9:$B$9</c:f>
              <c:numCache>
                <c:ptCount val="1"/>
                <c:pt idx="0">
                  <c:v>4960.000000</c:v>
                </c:pt>
              </c:numCache>
            </c:numRef>
          </c:val>
        </c:ser>
        <c:ser>
          <c:idx val="7"/>
          <c:order val="7"/>
          <c:tx>
            <c:strRef>
              <c:f>'TOP 10 BEST SELLER - DRINKS TOP'!$A$10</c:f>
              <c:strCache>
                <c:ptCount val="1"/>
                <c:pt idx="0">
                  <c:v>ESPRESSO</c:v>
                </c:pt>
              </c:strCache>
            </c:strRef>
          </c:tx>
          <c:spPr>
            <a:solidFill>
              <a:srgbClr val="73DD4E"/>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'TOP 10 BEST SELLER - DRINKS TOP'!$B$2</c:f>
              <c:strCache>
                <c:ptCount val="1"/>
                <c:pt idx="0">
                  <c:v>TOTAL VALUE</c:v>
                </c:pt>
              </c:strCache>
            </c:strRef>
          </c:cat>
          <c:val>
            <c:numRef>
              <c:f>'TOP 10 BEST SELLER - DRINKS TOP'!$B$10:$B$10</c:f>
              <c:numCache>
                <c:ptCount val="1"/>
                <c:pt idx="0">
                  <c:v>3477.000000</c:v>
                </c:pt>
              </c:numCache>
            </c:numRef>
          </c:val>
        </c:ser>
        <c:ser>
          <c:idx val="8"/>
          <c:order val="8"/>
          <c:tx>
            <c:strRef>
              <c:f>'TOP 10 BEST SELLER - DRINKS TOP'!$A$11</c:f>
              <c:strCache>
                <c:ptCount val="1"/>
                <c:pt idx="0">
                  <c:v>AMERICANO</c:v>
                </c:pt>
              </c:strCache>
            </c:strRef>
          </c:tx>
          <c:spPr>
            <a:solidFill>
              <a:srgbClr val="FFDE4D"/>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'TOP 10 BEST SELLER - DRINKS TOP'!$B$2</c:f>
              <c:strCache>
                <c:ptCount val="1"/>
                <c:pt idx="0">
                  <c:v>TOTAL VALUE</c:v>
                </c:pt>
              </c:strCache>
            </c:strRef>
          </c:cat>
          <c:val>
            <c:numRef>
              <c:f>'TOP 10 BEST SELLER - DRINKS TOP'!$B$11:$B$11</c:f>
              <c:numCache>
                <c:ptCount val="1"/>
                <c:pt idx="0">
                  <c:v>3402.000000</c:v>
                </c:pt>
              </c:numCache>
            </c:numRef>
          </c:val>
        </c:ser>
        <c:ser>
          <c:idx val="9"/>
          <c:order val="9"/>
          <c:tx>
            <c:strRef>
              <c:f>'TOP 10 BEST SELLER - DRINKS TOP'!$A$12</c:f>
              <c:strCache>
                <c:ptCount val="1"/>
                <c:pt idx="0">
                  <c:v>PICCOLO</c:v>
                </c:pt>
              </c:strCache>
            </c:strRef>
          </c:tx>
          <c:spPr>
            <a:solidFill>
              <a:srgbClr val="F9C32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'TOP 10 BEST SELLER - DRINKS TOP'!$B$2</c:f>
              <c:strCache>
                <c:ptCount val="1"/>
                <c:pt idx="0">
                  <c:v>TOTAL VALUE</c:v>
                </c:pt>
              </c:strCache>
            </c:strRef>
          </c:cat>
          <c:val>
            <c:numRef>
              <c:f>'TOP 10 BEST SELLER - DRINKS TOP'!$B$12:$B$12</c:f>
              <c:numCache>
                <c:ptCount val="1"/>
                <c:pt idx="0">
                  <c:v>2648.000000</c:v>
                </c:pt>
              </c:numCache>
            </c:numRef>
          </c:val>
        </c:ser>
        <c:gapWidth val="40"/>
        <c:overlap val="-10"/>
        <c:axId val="2094734552"/>
        <c:axId val="2094734553"/>
      </c:barChart>
      <c:catAx>
        <c:axId val="2094734552"/>
        <c:scaling>
          <c:orientation val="minMax"/>
        </c:scaling>
        <c:delete val="0"/>
        <c:axPos val="b"/>
        <c:numFmt formatCode="[$AED]#,##0.0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AED]#,##0.0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3250"/>
        <c:minorUnit val="1625"/>
      </c:valAx>
      <c:spPr>
        <a:noFill/>
        <a:ln w="12700" cap="flat">
          <a:noFill/>
          <a:miter lim="400000"/>
        </a:ln>
        <a:effectLst/>
      </c:spPr>
    </c:plotArea>
    <c:legend>
      <c:legendPos val="b"/>
      <c:layout>
        <c:manualLayout>
          <c:xMode val="edge"/>
          <c:yMode val="edge"/>
          <c:x val="0"/>
          <c:y val="0.902928"/>
          <c:w val="1"/>
          <c:h val="0.0970721"/>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7.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Chart 1</a:t>
            </a:r>
          </a:p>
        </c:rich>
      </c:tx>
      <c:layout>
        <c:manualLayout>
          <c:xMode val="edge"/>
          <c:yMode val="edge"/>
          <c:x val="0.448748"/>
          <c:y val="0"/>
          <c:w val="0.102504"/>
          <c:h val="0.0839019"/>
        </c:manualLayout>
      </c:layout>
      <c:overlay val="1"/>
      <c:spPr>
        <a:noFill/>
        <a:effectLst/>
      </c:spPr>
    </c:title>
    <c:autoTitleDeleted val="1"/>
    <c:plotArea>
      <c:layout>
        <c:manualLayout>
          <c:layoutTarget val="inner"/>
          <c:xMode val="edge"/>
          <c:yMode val="edge"/>
          <c:x val="0.189534"/>
          <c:y val="0.0839019"/>
          <c:w val="0.805466"/>
          <c:h val="0.678309"/>
        </c:manualLayout>
      </c:layout>
      <c:barChart>
        <c:barDir val="col"/>
        <c:grouping val="clustered"/>
        <c:varyColors val="0"/>
        <c:ser>
          <c:idx val="0"/>
          <c:order val="0"/>
          <c:tx>
            <c:strRef>
              <c:f>'LEAST 10 SELLER-1 - LEAST 10 SE'!$A$3</c:f>
              <c:strCache>
                <c:ptCount val="1"/>
                <c:pt idx="0">
                  <c:v>MATCHA BOWL</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'LEAST 10 SELLER-1 - LEAST 10 SE'!$B$2</c:f>
              <c:strCache>
                <c:ptCount val="1"/>
                <c:pt idx="0">
                  <c:v>TOTAL VALUE SOLD</c:v>
                </c:pt>
              </c:strCache>
            </c:strRef>
          </c:cat>
          <c:val>
            <c:numRef>
              <c:f>'LEAST 10 SELLER-1 - LEAST 10 SE'!$B$3:$B$3</c:f>
              <c:numCache>
                <c:ptCount val="1"/>
                <c:pt idx="0">
                  <c:v>1403.000000</c:v>
                </c:pt>
              </c:numCache>
            </c:numRef>
          </c:val>
        </c:ser>
        <c:ser>
          <c:idx val="1"/>
          <c:order val="1"/>
          <c:tx>
            <c:strRef>
              <c:f>'LEAST 10 SELLER-1 - LEAST 10 SE'!$A$4</c:f>
              <c:strCache>
                <c:ptCount val="1"/>
                <c:pt idx="0">
                  <c:v>ACAI BOWL</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'LEAST 10 SELLER-1 - LEAST 10 SE'!$B$2</c:f>
              <c:strCache>
                <c:ptCount val="1"/>
                <c:pt idx="0">
                  <c:v>TOTAL VALUE SOLD</c:v>
                </c:pt>
              </c:strCache>
            </c:strRef>
          </c:cat>
          <c:val>
            <c:numRef>
              <c:f>'LEAST 10 SELLER-1 - LEAST 10 SE'!$B$4:$B$4</c:f>
              <c:numCache>
                <c:ptCount val="1"/>
                <c:pt idx="0">
                  <c:v>1534.000000</c:v>
                </c:pt>
              </c:numCache>
            </c:numRef>
          </c:val>
        </c:ser>
        <c:ser>
          <c:idx val="2"/>
          <c:order val="2"/>
          <c:tx>
            <c:strRef>
              <c:f>'LEAST 10 SELLER-1 - LEAST 10 SE'!$A$5</c:f>
              <c:strCache>
                <c:ptCount val="1"/>
                <c:pt idx="0">
                  <c:v>TURKISH EGG</c:v>
                </c:pt>
              </c:strCache>
            </c:strRef>
          </c:tx>
          <c:spPr>
            <a:solidFill>
              <a:schemeClr val="accent4"/>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'LEAST 10 SELLER-1 - LEAST 10 SE'!$B$2</c:f>
              <c:strCache>
                <c:ptCount val="1"/>
                <c:pt idx="0">
                  <c:v>TOTAL VALUE SOLD</c:v>
                </c:pt>
              </c:strCache>
            </c:strRef>
          </c:cat>
          <c:val>
            <c:numRef>
              <c:f>'LEAST 10 SELLER-1 - LEAST 10 SE'!$B$5:$B$5</c:f>
              <c:numCache>
                <c:ptCount val="1"/>
                <c:pt idx="0">
                  <c:v>1957.000000</c:v>
                </c:pt>
              </c:numCache>
            </c:numRef>
          </c:val>
        </c:ser>
        <c:ser>
          <c:idx val="3"/>
          <c:order val="3"/>
          <c:tx>
            <c:strRef>
              <c:f>'LEAST 10 SELLER-1 - LEAST 10 SE'!$A$6</c:f>
              <c:strCache>
                <c:ptCount val="1"/>
                <c:pt idx="0">
                  <c:v>CHORIZO SHAKSHUKA</c:v>
                </c:pt>
              </c:strCache>
            </c:strRef>
          </c:tx>
          <c:spPr>
            <a:solidFill>
              <a:srgbClr val="F8BA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'LEAST 10 SELLER-1 - LEAST 10 SE'!$B$2</c:f>
              <c:strCache>
                <c:ptCount val="1"/>
                <c:pt idx="0">
                  <c:v>TOTAL VALUE SOLD</c:v>
                </c:pt>
              </c:strCache>
            </c:strRef>
          </c:cat>
          <c:val>
            <c:numRef>
              <c:f>'LEAST 10 SELLER-1 - LEAST 10 SE'!$B$6:$B$6</c:f>
              <c:numCache>
                <c:ptCount val="1"/>
                <c:pt idx="0">
                  <c:v>2180.000000</c:v>
                </c:pt>
              </c:numCache>
            </c:numRef>
          </c:val>
        </c:ser>
        <c:ser>
          <c:idx val="4"/>
          <c:order val="4"/>
          <c:tx>
            <c:strRef>
              <c:f>'LEAST 10 SELLER-1 - LEAST 10 SE'!$A$7</c:f>
              <c:strCache>
                <c:ptCount val="1"/>
                <c:pt idx="0">
                  <c:v>TUNA SANDWICH</c:v>
                </c:pt>
              </c:strCache>
            </c:strRef>
          </c:tx>
          <c:spPr>
            <a:solidFill>
              <a:srgbClr val="FF26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'LEAST 10 SELLER-1 - LEAST 10 SE'!$B$2</c:f>
              <c:strCache>
                <c:ptCount val="1"/>
                <c:pt idx="0">
                  <c:v>TOTAL VALUE SOLD</c:v>
                </c:pt>
              </c:strCache>
            </c:strRef>
          </c:cat>
          <c:val>
            <c:numRef>
              <c:f>'LEAST 10 SELLER-1 - LEAST 10 SE'!$B$7:$B$7</c:f>
              <c:numCache>
                <c:ptCount val="1"/>
                <c:pt idx="0">
                  <c:v>2564.000000</c:v>
                </c:pt>
              </c:numCache>
            </c:numRef>
          </c:val>
        </c:ser>
        <c:gapWidth val="40"/>
        <c:overlap val="-10"/>
        <c:axId val="2094734552"/>
        <c:axId val="2094734553"/>
      </c:barChart>
      <c:catAx>
        <c:axId val="2094734552"/>
        <c:scaling>
          <c:orientation val="minMax"/>
        </c:scaling>
        <c:delete val="0"/>
        <c:axPos val="b"/>
        <c:numFmt formatCode="[$AED]#,##0.0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AED]#,##0.0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650"/>
        <c:minorUnit val="325"/>
      </c:valAx>
      <c:spPr>
        <a:noFill/>
        <a:ln w="12700" cap="flat">
          <a:noFill/>
          <a:miter lim="400000"/>
        </a:ln>
        <a:effectLst/>
      </c:spPr>
    </c:plotArea>
    <c:legend>
      <c:legendPos val="b"/>
      <c:layout>
        <c:manualLayout>
          <c:xMode val="edge"/>
          <c:yMode val="edge"/>
          <c:x val="0.120808"/>
          <c:y val="0.871285"/>
          <c:w val="0.849799"/>
          <c:h val="0.128715"/>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8.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98719"/>
          <c:y val="0.0414133"/>
          <c:w val="0.575494"/>
          <c:h val="0.726014"/>
        </c:manualLayout>
      </c:layout>
      <c:barChart>
        <c:barDir val="col"/>
        <c:grouping val="clustered"/>
        <c:varyColors val="0"/>
        <c:ser>
          <c:idx val="0"/>
          <c:order val="0"/>
          <c:tx>
            <c:strRef>
              <c:f>'LEAST 10 SELLER-1 - LEAST 10 S1'!$A$3</c:f>
              <c:strCache>
                <c:ptCount val="1"/>
                <c:pt idx="0">
                  <c:v>MACHIATO</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'LEAST 10 SELLER-1 - LEAST 10 S1'!$B$2</c:f>
              <c:strCache>
                <c:ptCount val="1"/>
                <c:pt idx="0">
                  <c:v>TOTAL VALUE</c:v>
                </c:pt>
              </c:strCache>
            </c:strRef>
          </c:cat>
          <c:val>
            <c:numRef>
              <c:f>'LEAST 10 SELLER-1 - LEAST 10 S1'!$B$3:$B$3</c:f>
              <c:numCache>
                <c:ptCount val="1"/>
                <c:pt idx="0">
                  <c:v>198.000000</c:v>
                </c:pt>
              </c:numCache>
            </c:numRef>
          </c:val>
        </c:ser>
        <c:ser>
          <c:idx val="1"/>
          <c:order val="1"/>
          <c:tx>
            <c:strRef>
              <c:f>'LEAST 10 SELLER-1 - LEAST 10 S1'!$A$4</c:f>
              <c:strCache>
                <c:ptCount val="1"/>
                <c:pt idx="0">
                  <c:v>CHAMOMILE TEA</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'LEAST 10 SELLER-1 - LEAST 10 S1'!$B$2</c:f>
              <c:strCache>
                <c:ptCount val="1"/>
                <c:pt idx="0">
                  <c:v>TOTAL VALUE</c:v>
                </c:pt>
              </c:strCache>
            </c:strRef>
          </c:cat>
          <c:val>
            <c:numRef>
              <c:f>'LEAST 10 SELLER-1 - LEAST 10 S1'!$B$4:$B$4</c:f>
              <c:numCache>
                <c:ptCount val="1"/>
                <c:pt idx="0">
                  <c:v>288.000000</c:v>
                </c:pt>
              </c:numCache>
            </c:numRef>
          </c:val>
        </c:ser>
        <c:ser>
          <c:idx val="2"/>
          <c:order val="2"/>
          <c:tx>
            <c:strRef>
              <c:f>'LEAST 10 SELLER-1 - LEAST 10 S1'!$A$5</c:f>
              <c:strCache>
                <c:ptCount val="1"/>
                <c:pt idx="0">
                  <c:v>GREEN SMOOTHIE</c:v>
                </c:pt>
              </c:strCache>
            </c:strRef>
          </c:tx>
          <c:spPr>
            <a:solidFill>
              <a:schemeClr val="accent4"/>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'LEAST 10 SELLER-1 - LEAST 10 S1'!$B$2</c:f>
              <c:strCache>
                <c:ptCount val="1"/>
                <c:pt idx="0">
                  <c:v>TOTAL VALUE</c:v>
                </c:pt>
              </c:strCache>
            </c:strRef>
          </c:cat>
          <c:val>
            <c:numRef>
              <c:f>'LEAST 10 SELLER-1 - LEAST 10 S1'!$B$5:$B$5</c:f>
              <c:numCache>
                <c:ptCount val="1"/>
                <c:pt idx="0">
                  <c:v>304.000000</c:v>
                </c:pt>
              </c:numCache>
            </c:numRef>
          </c:val>
        </c:ser>
        <c:ser>
          <c:idx val="3"/>
          <c:order val="3"/>
          <c:tx>
            <c:strRef>
              <c:f>'LEAST 10 SELLER-1 - LEAST 10 S1'!$A$6</c:f>
              <c:strCache>
                <c:ptCount val="1"/>
                <c:pt idx="0">
                  <c:v>ENGLISH BREAKFAST</c:v>
                </c:pt>
              </c:strCache>
            </c:strRef>
          </c:tx>
          <c:spPr>
            <a:solidFill>
              <a:srgbClr val="F8BA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'LEAST 10 SELLER-1 - LEAST 10 S1'!$B$2</c:f>
              <c:strCache>
                <c:ptCount val="1"/>
                <c:pt idx="0">
                  <c:v>TOTAL VALUE</c:v>
                </c:pt>
              </c:strCache>
            </c:strRef>
          </c:cat>
          <c:val>
            <c:numRef>
              <c:f>'LEAST 10 SELLER-1 - LEAST 10 S1'!$B$6:$B$6</c:f>
              <c:numCache>
                <c:ptCount val="1"/>
                <c:pt idx="0">
                  <c:v>320.000000</c:v>
                </c:pt>
              </c:numCache>
            </c:numRef>
          </c:val>
        </c:ser>
        <c:ser>
          <c:idx val="4"/>
          <c:order val="4"/>
          <c:tx>
            <c:strRef>
              <c:f>'LEAST 10 SELLER-1 - LEAST 10 S1'!$A$7</c:f>
              <c:strCache>
                <c:ptCount val="1"/>
                <c:pt idx="0">
                  <c:v>GREEN TEA</c:v>
                </c:pt>
              </c:strCache>
            </c:strRef>
          </c:tx>
          <c:spPr>
            <a:solidFill>
              <a:srgbClr val="FF2600"/>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'LEAST 10 SELLER-1 - LEAST 10 S1'!$B$2</c:f>
              <c:strCache>
                <c:ptCount val="1"/>
                <c:pt idx="0">
                  <c:v>TOTAL VALUE</c:v>
                </c:pt>
              </c:strCache>
            </c:strRef>
          </c:cat>
          <c:val>
            <c:numRef>
              <c:f>'LEAST 10 SELLER-1 - LEAST 10 S1'!$B$7:$B$7</c:f>
              <c:numCache>
                <c:ptCount val="1"/>
                <c:pt idx="0">
                  <c:v>384.000000</c:v>
                </c:pt>
              </c:numCache>
            </c:numRef>
          </c:val>
        </c:ser>
        <c:ser>
          <c:idx val="5"/>
          <c:order val="5"/>
          <c:tx>
            <c:strRef>
              <c:f>'LEAST 10 SELLER-1 - LEAST 10 S1'!$A$8</c:f>
              <c:strCache>
                <c:ptCount val="1"/>
                <c:pt idx="0">
                  <c:v>HOT CHOCOLATE</c:v>
                </c:pt>
              </c:strCache>
            </c:strRef>
          </c:tx>
          <c:spPr>
            <a:solidFill>
              <a:schemeClr val="accent6">
                <a:satOff val="-20754"/>
                <a:lumOff val="-16738"/>
              </a:schemeClr>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'LEAST 10 SELLER-1 - LEAST 10 S1'!$B$2</c:f>
              <c:strCache>
                <c:ptCount val="1"/>
                <c:pt idx="0">
                  <c:v>TOTAL VALUE</c:v>
                </c:pt>
              </c:strCache>
            </c:strRef>
          </c:cat>
          <c:val>
            <c:numRef>
              <c:f>'LEAST 10 SELLER-1 - LEAST 10 S1'!$B$8:$B$8</c:f>
              <c:numCache>
                <c:ptCount val="1"/>
                <c:pt idx="0">
                  <c:v>570.000000</c:v>
                </c:pt>
              </c:numCache>
            </c:numRef>
          </c:val>
        </c:ser>
        <c:ser>
          <c:idx val="6"/>
          <c:order val="6"/>
          <c:tx>
            <c:strRef>
              <c:f>'LEAST 10 SELLER-1 - LEAST 10 S1'!$A$9</c:f>
              <c:strCache>
                <c:ptCount val="1"/>
                <c:pt idx="0">
                  <c:v>CHERRY FRAPPE</c:v>
                </c:pt>
              </c:strCache>
            </c:strRef>
          </c:tx>
          <c:spPr>
            <a:solidFill>
              <a:srgbClr val="22AEFF"/>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'LEAST 10 SELLER-1 - LEAST 10 S1'!$B$2</c:f>
              <c:strCache>
                <c:ptCount val="1"/>
                <c:pt idx="0">
                  <c:v>TOTAL VALUE</c:v>
                </c:pt>
              </c:strCache>
            </c:strRef>
          </c:cat>
          <c:val>
            <c:numRef>
              <c:f>'LEAST 10 SELLER-1 - LEAST 10 S1'!$B$9:$B$9</c:f>
              <c:numCache>
                <c:ptCount val="1"/>
                <c:pt idx="0">
                  <c:v>570.000000</c:v>
                </c:pt>
              </c:numCache>
            </c:numRef>
          </c:val>
        </c:ser>
        <c:ser>
          <c:idx val="7"/>
          <c:order val="7"/>
          <c:tx>
            <c:strRef>
              <c:f>'LEAST 10 SELLER-1 - LEAST 10 S1'!$A$10</c:f>
              <c:strCache>
                <c:ptCount val="1"/>
                <c:pt idx="0">
                  <c:v>PINK SMOOTHIE</c:v>
                </c:pt>
              </c:strCache>
            </c:strRef>
          </c:tx>
          <c:spPr>
            <a:solidFill>
              <a:srgbClr val="73DD4E"/>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'LEAST 10 SELLER-1 - LEAST 10 S1'!$B$2</c:f>
              <c:strCache>
                <c:ptCount val="1"/>
                <c:pt idx="0">
                  <c:v>TOTAL VALUE</c:v>
                </c:pt>
              </c:strCache>
            </c:strRef>
          </c:cat>
          <c:val>
            <c:numRef>
              <c:f>'LEAST 10 SELLER-1 - LEAST 10 S1'!$B$10:$B$10</c:f>
              <c:numCache>
                <c:ptCount val="1"/>
                <c:pt idx="0">
                  <c:v>684.000000</c:v>
                </c:pt>
              </c:numCache>
            </c:numRef>
          </c:val>
        </c:ser>
        <c:ser>
          <c:idx val="8"/>
          <c:order val="8"/>
          <c:tx>
            <c:strRef>
              <c:f>'LEAST 10 SELLER-1 - LEAST 10 S1'!$A$11</c:f>
              <c:strCache>
                <c:ptCount val="1"/>
                <c:pt idx="0">
                  <c:v>MATCHA FRAPPE</c:v>
                </c:pt>
              </c:strCache>
            </c:strRef>
          </c:tx>
          <c:spPr>
            <a:solidFill>
              <a:srgbClr val="FFDE4D"/>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'LEAST 10 SELLER-1 - LEAST 10 S1'!$B$2</c:f>
              <c:strCache>
                <c:ptCount val="1"/>
                <c:pt idx="0">
                  <c:v>TOTAL VALUE</c:v>
                </c:pt>
              </c:strCache>
            </c:strRef>
          </c:cat>
          <c:val>
            <c:numRef>
              <c:f>'LEAST 10 SELLER-1 - LEAST 10 S1'!$B$11:$B$11</c:f>
              <c:numCache>
                <c:ptCount val="1"/>
                <c:pt idx="0">
                  <c:v>760.000000</c:v>
                </c:pt>
              </c:numCache>
            </c:numRef>
          </c:val>
        </c:ser>
        <c:ser>
          <c:idx val="9"/>
          <c:order val="9"/>
          <c:tx>
            <c:strRef>
              <c:f>'LEAST 10 SELLER-1 - LEAST 10 S1'!$A$12</c:f>
              <c:strCache>
                <c:ptCount val="1"/>
                <c:pt idx="0">
                  <c:v>V60 ETHIOPIA</c:v>
                </c:pt>
              </c:strCache>
            </c:strRef>
          </c:tx>
          <c:spPr>
            <a:solidFill>
              <a:srgbClr val="F9C32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'LEAST 10 SELLER-1 - LEAST 10 S1'!$B$2</c:f>
              <c:strCache>
                <c:ptCount val="1"/>
                <c:pt idx="0">
                  <c:v>TOTAL VALUE</c:v>
                </c:pt>
              </c:strCache>
            </c:strRef>
          </c:cat>
          <c:val>
            <c:numRef>
              <c:f>'LEAST 10 SELLER-1 - LEAST 10 S1'!$B$12:$B$12</c:f>
              <c:numCache>
                <c:ptCount val="1"/>
                <c:pt idx="0">
                  <c:v>810.000000</c:v>
                </c:pt>
              </c:numCache>
            </c:numRef>
          </c:val>
        </c:ser>
        <c:gapWidth val="40"/>
        <c:overlap val="-10"/>
        <c:axId val="2094734552"/>
        <c:axId val="2094734553"/>
      </c:barChart>
      <c:catAx>
        <c:axId val="2094734552"/>
        <c:scaling>
          <c:orientation val="minMax"/>
        </c:scaling>
        <c:delete val="0"/>
        <c:axPos val="b"/>
        <c:numFmt formatCode="[$AED]#,##0.0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AED]#,##0.0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225"/>
        <c:minorUnit val="112.5"/>
      </c:valAx>
      <c:spPr>
        <a:noFill/>
        <a:ln w="12700" cap="flat">
          <a:noFill/>
          <a:miter lim="400000"/>
        </a:ln>
        <a:effectLst/>
      </c:spPr>
    </c:plotArea>
    <c:legend>
      <c:legendPos val="b"/>
      <c:layout>
        <c:manualLayout>
          <c:xMode val="edge"/>
          <c:yMode val="edge"/>
          <c:x val="0"/>
          <c:y val="0.86326"/>
          <c:w val="1"/>
          <c:h val="0.13674"/>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3.xml.rels><?xml version="1.0" encoding="UTF-8"?>
<Relationships xmlns="http://schemas.openxmlformats.org/package/2006/relationships"><Relationship Id="rId1" Type="http://schemas.openxmlformats.org/officeDocument/2006/relationships/chart" Target="../charts/chart4.xml"/></Relationships>

</file>

<file path=xl/drawings/_rels/drawing4.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5.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160223</xdr:rowOff>
    </xdr:from>
    <xdr:to>
      <xdr:col>5</xdr:col>
      <xdr:colOff>1202949</xdr:colOff>
      <xdr:row>0</xdr:row>
      <xdr:rowOff>3704844</xdr:rowOff>
    </xdr:to>
    <xdr:graphicFrame>
      <xdr:nvGraphicFramePr>
        <xdr:cNvPr id="2" name="2D Column Chart"/>
        <xdr:cNvGraphicFramePr/>
      </xdr:nvGraphicFramePr>
      <xdr:xfrm>
        <a:off x="-242629" y="160223"/>
        <a:ext cx="7768850" cy="3544622"/>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11</xdr:col>
      <xdr:colOff>229941</xdr:colOff>
      <xdr:row>22</xdr:row>
      <xdr:rowOff>61264</xdr:rowOff>
    </xdr:to>
    <xdr:graphicFrame>
      <xdr:nvGraphicFramePr>
        <xdr:cNvPr id="4" name="2D Column Chart"/>
        <xdr:cNvGraphicFramePr/>
      </xdr:nvGraphicFramePr>
      <xdr:xfrm>
        <a:off x="-172017" y="-173533"/>
        <a:ext cx="8611942" cy="3693466"/>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5</xdr:col>
      <xdr:colOff>179485</xdr:colOff>
      <xdr:row>51</xdr:row>
      <xdr:rowOff>21349</xdr:rowOff>
    </xdr:from>
    <xdr:to>
      <xdr:col>12</xdr:col>
      <xdr:colOff>58498</xdr:colOff>
      <xdr:row>73</xdr:row>
      <xdr:rowOff>82614</xdr:rowOff>
    </xdr:to>
    <xdr:graphicFrame>
      <xdr:nvGraphicFramePr>
        <xdr:cNvPr id="5" name="2D Column Chart"/>
        <xdr:cNvGraphicFramePr/>
      </xdr:nvGraphicFramePr>
      <xdr:xfrm>
        <a:off x="3989485" y="8441449"/>
        <a:ext cx="5213014" cy="3693466"/>
      </xdr:xfrm>
      <a:graphic xmlns:a="http://schemas.openxmlformats.org/drawingml/2006/main">
        <a:graphicData uri="http://schemas.openxmlformats.org/drawingml/2006/chart">
          <c:chart xmlns:c="http://schemas.openxmlformats.org/drawingml/2006/chart" r:id="rId2"/>
        </a:graphicData>
      </a:graphic>
    </xdr:graphicFrame>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160223</xdr:rowOff>
    </xdr:from>
    <xdr:to>
      <xdr:col>11</xdr:col>
      <xdr:colOff>229941</xdr:colOff>
      <xdr:row>22</xdr:row>
      <xdr:rowOff>72644</xdr:rowOff>
    </xdr:to>
    <xdr:graphicFrame>
      <xdr:nvGraphicFramePr>
        <xdr:cNvPr id="7" name="2D Column Chart"/>
        <xdr:cNvGraphicFramePr/>
      </xdr:nvGraphicFramePr>
      <xdr:xfrm>
        <a:off x="-172017" y="160223"/>
        <a:ext cx="8611942" cy="3544622"/>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371586</xdr:colOff>
      <xdr:row>0</xdr:row>
      <xdr:rowOff>0</xdr:rowOff>
    </xdr:from>
    <xdr:to>
      <xdr:col>6</xdr:col>
      <xdr:colOff>701452</xdr:colOff>
      <xdr:row>23</xdr:row>
      <xdr:rowOff>45008</xdr:rowOff>
    </xdr:to>
    <xdr:graphicFrame>
      <xdr:nvGraphicFramePr>
        <xdr:cNvPr id="9" name="2D Column Chart"/>
        <xdr:cNvGraphicFramePr/>
      </xdr:nvGraphicFramePr>
      <xdr:xfrm>
        <a:off x="371586" y="-684480"/>
        <a:ext cx="4901867" cy="3842310"/>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0</xdr:col>
      <xdr:colOff>0</xdr:colOff>
      <xdr:row>41</xdr:row>
      <xdr:rowOff>134304</xdr:rowOff>
    </xdr:from>
    <xdr:to>
      <xdr:col>8</xdr:col>
      <xdr:colOff>508376</xdr:colOff>
      <xdr:row>63</xdr:row>
      <xdr:rowOff>22036</xdr:rowOff>
    </xdr:to>
    <xdr:graphicFrame>
      <xdr:nvGraphicFramePr>
        <xdr:cNvPr id="10" name="2D Column Chart"/>
        <xdr:cNvGraphicFramePr/>
      </xdr:nvGraphicFramePr>
      <xdr:xfrm>
        <a:off x="-135803" y="6903404"/>
        <a:ext cx="6604377" cy="3519933"/>
      </xdr:xfrm>
      <a:graphic xmlns:a="http://schemas.openxmlformats.org/drawingml/2006/main">
        <a:graphicData uri="http://schemas.openxmlformats.org/drawingml/2006/chart">
          <c:chart xmlns:c="http://schemas.openxmlformats.org/drawingml/2006/chart" r:id="rId2"/>
        </a:graphicData>
      </a:graphic>
    </xdr:graphicFrame>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6</xdr:col>
      <xdr:colOff>329866</xdr:colOff>
      <xdr:row>23</xdr:row>
      <xdr:rowOff>45008</xdr:rowOff>
    </xdr:to>
    <xdr:graphicFrame>
      <xdr:nvGraphicFramePr>
        <xdr:cNvPr id="12" name="2D Column Chart"/>
        <xdr:cNvGraphicFramePr/>
      </xdr:nvGraphicFramePr>
      <xdr:xfrm>
        <a:off x="-131113" y="0"/>
        <a:ext cx="4901867" cy="3842309"/>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0</xdr:col>
      <xdr:colOff>0</xdr:colOff>
      <xdr:row>47</xdr:row>
      <xdr:rowOff>57291</xdr:rowOff>
    </xdr:from>
    <xdr:to>
      <xdr:col>8</xdr:col>
      <xdr:colOff>508376</xdr:colOff>
      <xdr:row>69</xdr:row>
      <xdr:rowOff>19199</xdr:rowOff>
    </xdr:to>
    <xdr:graphicFrame>
      <xdr:nvGraphicFramePr>
        <xdr:cNvPr id="13" name="2D Column Chart"/>
        <xdr:cNvGraphicFramePr/>
      </xdr:nvGraphicFramePr>
      <xdr:xfrm>
        <a:off x="-87488" y="7816991"/>
        <a:ext cx="6604377" cy="3594109"/>
      </xdr:xfrm>
      <a:graphic xmlns:a="http://schemas.openxmlformats.org/drawingml/2006/main">
        <a:graphicData uri="http://schemas.openxmlformats.org/drawingml/2006/chart">
          <c:chart xmlns:c="http://schemas.openxmlformats.org/drawingml/2006/chart" r:id="rId2"/>
        </a:graphicData>
      </a:graphic>
    </xdr:graphicFrame>
    <xdr:clientData/>
  </xdr:twoCellAnchor>
</xdr:wsDr>
</file>

<file path=xl/theme/theme1.xml><?xml version="1.0" encoding="utf-8"?>
<a:theme xmlns:a="http://schemas.openxmlformats.org/drawingml/2006/main" xmlns:r="http://schemas.openxmlformats.org/officeDocument/2006/relationships" name="21_Table_and_Chart">
  <a:themeElements>
    <a:clrScheme name="21_Table_and_Chart">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21_Table_and_Chart">
      <a:majorFont>
        <a:latin typeface="Helvetica Neue"/>
        <a:ea typeface="Helvetica Neue"/>
        <a:cs typeface="Helvetica Neue"/>
      </a:majorFont>
      <a:minorFont>
        <a:latin typeface="Helvetica Neue"/>
        <a:ea typeface="Helvetica Neue"/>
        <a:cs typeface="Helvetica Neue"/>
      </a:minorFont>
    </a:fontScheme>
    <a:fmtScheme name="21_Table_and_Char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6.xml.rels><?xml version="1.0" encoding="UTF-8"?>
<Relationships xmlns="http://schemas.openxmlformats.org/package/2006/relationships"><Relationship Id="rId1" Type="http://schemas.openxmlformats.org/officeDocument/2006/relationships/drawing" Target="../drawings/drawing2.xml"/></Relationships>

</file>

<file path=xl/worksheets/_rels/sheet9.xml.rels><?xml version="1.0" encoding="UTF-8"?>
<Relationships xmlns="http://schemas.openxmlformats.org/package/2006/relationships"><Relationship Id="rId1" Type="http://schemas.openxmlformats.org/officeDocument/2006/relationships/drawing" Target="../drawings/drawing3.xml"/></Relationships>

</file>

<file path=xl/worksheets/_rels/sheet13.xml.rels><?xml version="1.0" encoding="UTF-8"?>
<Relationships xmlns="http://schemas.openxmlformats.org/package/2006/relationships"><Relationship Id="rId1" Type="http://schemas.openxmlformats.org/officeDocument/2006/relationships/drawing" Target="../drawings/drawing4.xml"/></Relationships>

</file>

<file path=xl/worksheets/_rels/sheet17.xml.rels><?xml version="1.0" encoding="UTF-8"?>
<Relationships xmlns="http://schemas.openxmlformats.org/package/2006/relationships"><Relationship Id="rId1" Type="http://schemas.openxmlformats.org/officeDocument/2006/relationships/drawing" Target="../drawings/drawing5.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t="s" s="3">
        <v>24</v>
      </c>
      <c r="C11" s="3"/>
      <c r="D11" s="3"/>
    </row>
    <row r="12">
      <c r="B12" s="4"/>
      <c r="C12" t="s" s="4">
        <v>25</v>
      </c>
      <c r="D12" t="s" s="5">
        <v>26</v>
      </c>
    </row>
    <row r="13">
      <c r="B13" s="4"/>
      <c r="C13" t="s" s="4">
        <v>42</v>
      </c>
      <c r="D13" t="s" s="5">
        <v>43</v>
      </c>
    </row>
    <row r="14">
      <c r="B14" s="4"/>
      <c r="C14" t="s" s="4">
        <v>46</v>
      </c>
      <c r="D14" t="s" s="5">
        <v>47</v>
      </c>
    </row>
    <row r="15">
      <c r="B15" s="4"/>
      <c r="C15" t="s" s="4">
        <v>50</v>
      </c>
      <c r="D15" t="s" s="5">
        <v>51</v>
      </c>
    </row>
    <row r="16">
      <c r="B16" t="s" s="3">
        <v>52</v>
      </c>
      <c r="C16" s="3"/>
      <c r="D16" s="3"/>
    </row>
    <row r="17">
      <c r="B17" s="4"/>
      <c r="C17" t="s" s="4">
        <v>53</v>
      </c>
      <c r="D17" t="s" s="5">
        <v>54</v>
      </c>
    </row>
    <row r="18">
      <c r="B18" s="4"/>
      <c r="C18" t="s" s="4">
        <v>46</v>
      </c>
      <c r="D18" t="s" s="5">
        <v>59</v>
      </c>
    </row>
    <row r="19">
      <c r="B19" s="4"/>
      <c r="C19" t="s" s="4">
        <v>50</v>
      </c>
      <c r="D19" t="s" s="5">
        <v>61</v>
      </c>
    </row>
    <row r="20">
      <c r="B20" t="s" s="3">
        <v>62</v>
      </c>
      <c r="C20" s="3"/>
      <c r="D20" s="3"/>
    </row>
    <row r="21">
      <c r="B21" s="4"/>
      <c r="C21" t="s" s="4">
        <v>63</v>
      </c>
      <c r="D21" t="s" s="5">
        <v>64</v>
      </c>
    </row>
    <row r="22">
      <c r="B22" s="4"/>
      <c r="C22" t="s" s="4">
        <v>71</v>
      </c>
      <c r="D22" t="s" s="5">
        <v>72</v>
      </c>
    </row>
    <row r="23">
      <c r="B23" s="4"/>
      <c r="C23" t="s" s="4">
        <v>84</v>
      </c>
      <c r="D23" t="s" s="5">
        <v>85</v>
      </c>
    </row>
    <row r="24">
      <c r="B24" s="4"/>
      <c r="C24" t="s" s="4">
        <v>50</v>
      </c>
      <c r="D24" t="s" s="5">
        <v>89</v>
      </c>
    </row>
    <row r="25">
      <c r="B25" t="s" s="3">
        <v>90</v>
      </c>
      <c r="C25" s="3"/>
      <c r="D25" s="3"/>
    </row>
    <row r="26">
      <c r="B26" s="4"/>
      <c r="C26" t="s" s="4">
        <v>91</v>
      </c>
      <c r="D26" t="s" s="5">
        <v>92</v>
      </c>
    </row>
    <row r="27">
      <c r="B27" s="4"/>
      <c r="C27" t="s" s="4">
        <v>98</v>
      </c>
      <c r="D27" t="s" s="5">
        <v>99</v>
      </c>
    </row>
    <row r="28">
      <c r="B28" s="4"/>
      <c r="C28" t="s" s="4">
        <v>84</v>
      </c>
      <c r="D28" t="s" s="5">
        <v>110</v>
      </c>
    </row>
    <row r="29">
      <c r="B29" s="4"/>
      <c r="C29" t="s" s="4">
        <v>50</v>
      </c>
      <c r="D29" t="s" s="5">
        <v>112</v>
      </c>
    </row>
    <row r="30">
      <c r="B30" t="s" s="3">
        <v>113</v>
      </c>
      <c r="C30" s="3"/>
      <c r="D30" s="3"/>
    </row>
    <row r="31">
      <c r="B31" s="4"/>
      <c r="C31" t="s" s="4">
        <v>114</v>
      </c>
      <c r="D31" t="s" s="5">
        <v>115</v>
      </c>
    </row>
    <row r="32">
      <c r="B32" t="s" s="3">
        <v>129</v>
      </c>
      <c r="C32" s="3"/>
      <c r="D32" s="3"/>
    </row>
    <row r="33">
      <c r="B33" s="4"/>
      <c r="C33" t="s" s="4">
        <v>130</v>
      </c>
      <c r="D33" t="s" s="5">
        <v>131</v>
      </c>
    </row>
    <row r="34">
      <c r="B34" t="s" s="3">
        <v>149</v>
      </c>
      <c r="C34" s="3"/>
      <c r="D34" s="3"/>
    </row>
    <row r="35">
      <c r="B35" s="4"/>
      <c r="C35" t="s" s="4">
        <v>25</v>
      </c>
      <c r="D35" t="s" s="5">
        <v>149</v>
      </c>
    </row>
  </sheetData>
  <mergeCells count="1">
    <mergeCell ref="B3:D3"/>
  </mergeCells>
  <hyperlinks>
    <hyperlink ref="D10" location="'SALES FROM TH EMONTH OF MAY - S'!R3C2" tooltip="" display="SALES FROM TH EMONTH OF MAY - S"/>
    <hyperlink ref="D12" location="'DAY WISE REPORT-1 - Table 1'!R2C1" tooltip="" display="DAY WISE REPORT-1 - Table 1"/>
    <hyperlink ref="D13" location="'DAY WISE REPORT-1 - DAILY-SALE '!R2C1" tooltip="" display="DAY WISE REPORT-1 - DAILY-SALE "/>
    <hyperlink ref="D14" location="'DAY WISE REPORT-1 - Table 2'!R1C1" tooltip="" display="DAY WISE REPORT-1 - Table 2"/>
    <hyperlink ref="D15" location="'DAY WISE REPORT-1 - Drawings'!R1C1" tooltip="" display="DAY WISE REPORT-1 - Drawings"/>
    <hyperlink ref="D17" location="'TIME WISE REPORT - TIME WISE SA'!R2C1" tooltip="" display="TIME WISE REPORT - TIME WISE SA"/>
    <hyperlink ref="D18" location="'TIME WISE REPORT - Table 2'!R1C1" tooltip="" display="TIME WISE REPORT - Table 2"/>
    <hyperlink ref="D19" location="'TIME WISE REPORT - Drawings'!R1C1" tooltip="" display="TIME WISE REPORT - Drawings"/>
    <hyperlink ref="D21" location="'TOP 10 BEST SELLER - FOOD TOP 1'!R2C1" tooltip="" display="TOP 10 BEST SELLER - FOOD TOP 1"/>
    <hyperlink ref="D22" location="'TOP 10 BEST SELLER - DRINKS TOP'!R2C1" tooltip="" display="TOP 10 BEST SELLER - DRINKS TOP"/>
    <hyperlink ref="D23" location="'TOP 10 BEST SELLER - LEAST 10 S'!R1C1" tooltip="" display="TOP 10 BEST SELLER - LEAST 10 S"/>
    <hyperlink ref="D24" location="'TOP 10 BEST SELLER - Drawings'!R1C1" tooltip="" display="TOP 10 BEST SELLER - Drawings"/>
    <hyperlink ref="D26" location="'LEAST 10 SELLER-1 - LEAST 10 SE'!R2C1" tooltip="" display="LEAST 10 SELLER-1 - LEAST 10 SE"/>
    <hyperlink ref="D27" location="'LEAST 10 SELLER-1 - LEAST 10 S1'!R2C1" tooltip="" display="LEAST 10 SELLER-1 - LEAST 10 S1"/>
    <hyperlink ref="D28" location="'LEAST 10 SELLER-1 - LEAST 10 S2'!R1C1" tooltip="" display="LEAST 10 SELLER-1 - LEAST 10 S2"/>
    <hyperlink ref="D29" location="'LEAST 10 SELLER-1 - Drawings'!R1C1" tooltip="" display="LEAST 10 SELLER-1 - Drawings"/>
    <hyperlink ref="D31" location="'SALES AND PAYMENTS DONE - PROFI'!R3C2" tooltip="" display="SALES AND PAYMENTS DONE - PROFI"/>
    <hyperlink ref="D33" location="'EVENTS AND ACTIVATIONS - EVENT '!R2C1" tooltip="" display="EVENTS AND ACTIVATIONS - EVENT "/>
    <hyperlink ref="D35" location="'Sheet 1'!R2C1" tooltip="" display="Sheet 1"/>
  </hyperlinks>
</worksheet>
</file>

<file path=xl/worksheets/sheet2.xml><?xml version="1.0" encoding="utf-8"?>
<worksheet xmlns:r="http://schemas.openxmlformats.org/officeDocument/2006/relationships" xmlns="http://schemas.openxmlformats.org/spreadsheetml/2006/main">
  <sheetPr>
    <pageSetUpPr fitToPage="1"/>
  </sheetPr>
  <dimension ref="B3:F16"/>
  <sheetViews>
    <sheetView workbookViewId="0" showGridLines="0" defaultGridColor="1"/>
  </sheetViews>
  <sheetFormatPr defaultColWidth="27.75" defaultRowHeight="19.9" customHeight="1" outlineLevelRow="0" outlineLevelCol="0"/>
  <cols>
    <col min="1" max="1" width="15.2266" style="6" customWidth="1"/>
    <col min="2" max="2" width="15.2656" style="6" customWidth="1"/>
    <col min="3" max="3" width="18.3672" style="6" customWidth="1"/>
    <col min="4" max="6" width="18.7188" style="6" customWidth="1"/>
    <col min="7" max="16384" width="27.75" style="6" customWidth="1"/>
  </cols>
  <sheetData>
    <row r="1" ht="322.1" customHeight="1"/>
    <row r="2" ht="27.65" customHeight="1">
      <c r="B2" t="s" s="7">
        <v>5</v>
      </c>
      <c r="C2" s="7"/>
      <c r="D2" s="7"/>
      <c r="E2" s="7"/>
      <c r="F2" s="7"/>
    </row>
    <row r="3" ht="20.25" customHeight="1">
      <c r="B3" t="s" s="8">
        <v>7</v>
      </c>
      <c r="C3" t="s" s="8">
        <v>8</v>
      </c>
      <c r="D3" t="s" s="8">
        <v>9</v>
      </c>
      <c r="E3" t="s" s="8">
        <v>10</v>
      </c>
      <c r="F3" t="s" s="8">
        <v>11</v>
      </c>
    </row>
    <row r="4" ht="20.25" customHeight="1">
      <c r="B4" t="s" s="9">
        <v>12</v>
      </c>
      <c r="C4" s="10"/>
      <c r="D4" s="11"/>
      <c r="E4" s="11"/>
      <c r="F4" s="11" cm="1">
        <f t="array" ref="F4">SUM(C4:E4)</f>
        <v>0</v>
      </c>
    </row>
    <row r="5" ht="20.05" customHeight="1">
      <c r="B5" t="s" s="12">
        <v>13</v>
      </c>
      <c r="C5" s="13"/>
      <c r="D5" s="14"/>
      <c r="E5" s="14"/>
      <c r="F5" s="14" cm="1">
        <f t="array" ref="F5">SUM(C5:E5)</f>
        <v>0</v>
      </c>
    </row>
    <row r="6" ht="20.05" customHeight="1">
      <c r="B6" t="s" s="12">
        <v>14</v>
      </c>
      <c r="C6" s="15">
        <v>85204.759999999995</v>
      </c>
      <c r="D6" s="16">
        <v>167386.67</v>
      </c>
      <c r="E6" s="16">
        <v>1785.71</v>
      </c>
      <c r="F6" s="16" cm="1">
        <f t="array" ref="F6">SUM(C6:E6)</f>
        <v>254377.14</v>
      </c>
    </row>
    <row r="7" ht="20.05" customHeight="1">
      <c r="B7" t="s" s="12">
        <v>15</v>
      </c>
      <c r="C7" s="13">
        <v>58493.33</v>
      </c>
      <c r="D7" s="14">
        <v>109820</v>
      </c>
      <c r="E7" s="14">
        <v>566</v>
      </c>
      <c r="F7" s="14" cm="1">
        <f t="array" ref="F7">SUM(C7:E7)</f>
        <v>168879.33</v>
      </c>
    </row>
    <row r="8" ht="20.05" customHeight="1">
      <c r="B8" t="s" s="12">
        <v>16</v>
      </c>
      <c r="C8" s="15">
        <v>50057</v>
      </c>
      <c r="D8" s="16">
        <v>90270</v>
      </c>
      <c r="E8" s="16">
        <v>4248</v>
      </c>
      <c r="F8" s="16" cm="1">
        <f t="array" ref="F8">SUM(C8:E8)</f>
        <v>144575</v>
      </c>
    </row>
    <row r="9" ht="20.05" customHeight="1">
      <c r="B9" t="s" s="12">
        <v>17</v>
      </c>
      <c r="C9" s="13">
        <v>29474.29</v>
      </c>
      <c r="D9" s="14">
        <v>45245.9</v>
      </c>
      <c r="E9" s="14">
        <v>888.5700000000001</v>
      </c>
      <c r="F9" s="14" cm="1">
        <f t="array" ref="F9">SUM(C9:E9)</f>
        <v>75608.759999999995</v>
      </c>
    </row>
    <row r="10" ht="20.05" customHeight="1">
      <c r="B10" t="s" s="12">
        <v>18</v>
      </c>
      <c r="C10" s="15">
        <v>25107</v>
      </c>
      <c r="D10" s="16">
        <v>36420.95</v>
      </c>
      <c r="E10" s="16">
        <v>2765</v>
      </c>
      <c r="F10" s="16" cm="1">
        <f t="array" ref="F10">SUM(C10:E10)</f>
        <v>64292.95</v>
      </c>
    </row>
    <row r="11" ht="20.05" customHeight="1">
      <c r="B11" t="s" s="12">
        <v>19</v>
      </c>
      <c r="C11" s="13">
        <v>21436.4</v>
      </c>
      <c r="D11" s="14">
        <v>49306.4</v>
      </c>
      <c r="E11" s="14">
        <v>467</v>
      </c>
      <c r="F11" s="14" cm="1">
        <f t="array" ref="F11">SUM(C11:E11)</f>
        <v>71209.8</v>
      </c>
    </row>
    <row r="12" ht="20.05" customHeight="1">
      <c r="B12" t="s" s="12">
        <v>20</v>
      </c>
      <c r="C12" s="15">
        <v>22675</v>
      </c>
      <c r="D12" s="16">
        <v>26826.52</v>
      </c>
      <c r="E12" s="16">
        <v>1966.48</v>
      </c>
      <c r="F12" s="16" cm="1">
        <f t="array" ref="F12">SUM(C12:E12)</f>
        <v>51468</v>
      </c>
    </row>
    <row r="13" ht="20.05" customHeight="1">
      <c r="B13" t="s" s="12">
        <v>21</v>
      </c>
      <c r="C13" s="13">
        <v>21982</v>
      </c>
      <c r="D13" s="14">
        <v>30870.96</v>
      </c>
      <c r="E13" s="14">
        <v>2534.04</v>
      </c>
      <c r="F13" s="14" cm="1">
        <f t="array" ref="F13">SUM(C13:E13)</f>
        <v>55387</v>
      </c>
    </row>
    <row r="14" ht="20.05" customHeight="1">
      <c r="B14" t="s" s="12">
        <v>22</v>
      </c>
      <c r="C14" s="15">
        <v>18863.8</v>
      </c>
      <c r="D14" s="16">
        <v>32391.89</v>
      </c>
      <c r="E14" s="16">
        <v>2249.41</v>
      </c>
      <c r="F14" s="16" cm="1">
        <f t="array" ref="F14">SUM(C14:E14)</f>
        <v>53505.1</v>
      </c>
    </row>
    <row r="15" ht="20.05" customHeight="1">
      <c r="B15" t="s" s="12">
        <v>23</v>
      </c>
      <c r="C15" s="13"/>
      <c r="D15" s="14"/>
      <c r="E15" s="14"/>
      <c r="F15" s="14" cm="1">
        <f t="array" ref="F15">SUM(C15:E15)</f>
        <v>0</v>
      </c>
    </row>
    <row r="16" ht="20.05" customHeight="1">
      <c r="B16" t="s" s="17">
        <v>11</v>
      </c>
      <c r="C16" s="18" cm="1">
        <f t="array" ref="C16">SUM(C4:C15)</f>
        <v>333293.58</v>
      </c>
      <c r="D16" s="19" cm="1">
        <f t="array" ref="D16">SUM(D4:D15)</f>
        <v>588539.29</v>
      </c>
      <c r="E16" s="19" cm="1">
        <f t="array" ref="E16">SUM(E4:E15)</f>
        <v>17470.21</v>
      </c>
      <c r="F16" s="19" cm="1">
        <f t="array" ref="F16">SUM(C16:E16)</f>
        <v>939303.08</v>
      </c>
    </row>
  </sheetData>
  <mergeCells count="1">
    <mergeCell ref="B2:F2"/>
  </mergeCells>
  <pageMargins left="0.25" right="0.25" top="0.25" bottom="0.25"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2:H14"/>
  <sheetViews>
    <sheetView workbookViewId="0" showGridLines="0" defaultGridColor="1"/>
  </sheetViews>
  <sheetFormatPr defaultColWidth="27.75" defaultRowHeight="19.9" customHeight="1" outlineLevelRow="0" outlineLevelCol="0"/>
  <cols>
    <col min="1" max="1" width="24.6719" style="20" customWidth="1"/>
    <col min="2" max="2" width="15.2656" style="20" customWidth="1"/>
    <col min="3" max="3" width="14.3359" style="20" customWidth="1"/>
    <col min="4" max="4" width="16.0078" style="20" customWidth="1"/>
    <col min="5" max="5" width="16.3281" style="20" customWidth="1"/>
    <col min="6" max="6" width="15.4688" style="20" customWidth="1"/>
    <col min="7" max="7" width="15.8594" style="20" customWidth="1"/>
    <col min="8" max="8" width="16.3438" style="20" customWidth="1"/>
    <col min="9" max="16384" width="27.75" style="20" customWidth="1"/>
  </cols>
  <sheetData>
    <row r="1" ht="27.65" customHeight="1">
      <c r="A1" t="s" s="7">
        <v>25</v>
      </c>
      <c r="B1" s="7"/>
      <c r="C1" s="7"/>
      <c r="D1" s="7"/>
      <c r="E1" s="7"/>
      <c r="F1" s="7"/>
      <c r="G1" s="7"/>
      <c r="H1" s="7"/>
    </row>
    <row r="2" ht="20.25" customHeight="1">
      <c r="A2" t="s" s="21">
        <v>7</v>
      </c>
      <c r="B2" t="s" s="21">
        <v>27</v>
      </c>
      <c r="C2" t="s" s="21">
        <v>28</v>
      </c>
      <c r="D2" t="s" s="21">
        <v>29</v>
      </c>
      <c r="E2" t="s" s="21">
        <v>30</v>
      </c>
      <c r="F2" t="s" s="21">
        <v>31</v>
      </c>
      <c r="G2" t="s" s="21">
        <v>32</v>
      </c>
      <c r="H2" t="s" s="21">
        <v>33</v>
      </c>
    </row>
    <row r="3" ht="20.25" customHeight="1">
      <c r="A3" t="s" s="22">
        <v>34</v>
      </c>
      <c r="B3" s="10"/>
      <c r="C3" s="11"/>
      <c r="D3" s="11"/>
      <c r="E3" s="11"/>
      <c r="F3" s="11"/>
      <c r="G3" s="11"/>
      <c r="H3" s="11"/>
    </row>
    <row r="4" ht="20.05" customHeight="1">
      <c r="A4" t="s" s="23">
        <v>35</v>
      </c>
      <c r="B4" s="13"/>
      <c r="C4" s="14"/>
      <c r="D4" s="14"/>
      <c r="E4" s="14"/>
      <c r="F4" s="14"/>
      <c r="G4" s="14"/>
      <c r="H4" s="14"/>
    </row>
    <row r="5" ht="20.05" customHeight="1">
      <c r="A5" t="s" s="23">
        <v>36</v>
      </c>
      <c r="B5" s="15">
        <v>19093</v>
      </c>
      <c r="C5" s="16">
        <v>21518</v>
      </c>
      <c r="D5" s="16">
        <v>21985</v>
      </c>
      <c r="E5" s="16">
        <v>28388</v>
      </c>
      <c r="F5" s="16">
        <v>24875</v>
      </c>
      <c r="G5" s="16">
        <v>25561</v>
      </c>
      <c r="H5" s="16">
        <v>25182</v>
      </c>
    </row>
    <row r="6" ht="20.05" customHeight="1">
      <c r="A6" t="s" s="23">
        <v>15</v>
      </c>
      <c r="B6" s="13">
        <v>12918</v>
      </c>
      <c r="C6" s="14">
        <v>11124</v>
      </c>
      <c r="D6" s="14">
        <v>12843</v>
      </c>
      <c r="E6" s="14">
        <v>30638</v>
      </c>
      <c r="F6" s="14">
        <v>18337</v>
      </c>
      <c r="G6" s="14">
        <v>26153</v>
      </c>
      <c r="H6" s="14">
        <v>23279</v>
      </c>
    </row>
    <row r="7" ht="20.05" customHeight="1">
      <c r="A7" t="s" s="23">
        <v>16</v>
      </c>
      <c r="B7" s="15">
        <v>14932</v>
      </c>
      <c r="C7" s="16">
        <v>15167</v>
      </c>
      <c r="D7" s="16">
        <v>18017</v>
      </c>
      <c r="E7" s="16">
        <v>28373</v>
      </c>
      <c r="F7" s="16">
        <v>24315</v>
      </c>
      <c r="G7" s="16">
        <v>22503</v>
      </c>
      <c r="H7" s="16">
        <v>22348</v>
      </c>
    </row>
    <row r="8" ht="20.05" customHeight="1">
      <c r="A8" t="s" s="23">
        <v>17</v>
      </c>
      <c r="B8" s="13">
        <v>12237</v>
      </c>
      <c r="C8" s="14">
        <v>8319</v>
      </c>
      <c r="D8" s="14">
        <v>10055</v>
      </c>
      <c r="E8" s="14">
        <v>10453</v>
      </c>
      <c r="F8" s="14">
        <v>13444</v>
      </c>
      <c r="G8" s="14">
        <v>9625</v>
      </c>
      <c r="H8" s="14">
        <v>17613</v>
      </c>
    </row>
    <row r="9" ht="20.05" customHeight="1">
      <c r="A9" t="s" s="23">
        <v>18</v>
      </c>
      <c r="B9" s="15">
        <v>10649</v>
      </c>
      <c r="C9" s="16">
        <v>9476</v>
      </c>
      <c r="D9" s="16">
        <v>9681</v>
      </c>
      <c r="E9" s="16">
        <v>7298</v>
      </c>
      <c r="F9" s="16">
        <v>11014</v>
      </c>
      <c r="G9" s="16">
        <v>13700</v>
      </c>
      <c r="H9" s="16">
        <v>11079</v>
      </c>
    </row>
    <row r="10" ht="20.05" customHeight="1">
      <c r="A10" t="s" s="23">
        <v>37</v>
      </c>
      <c r="B10" s="13">
        <v>6257</v>
      </c>
      <c r="C10" s="14">
        <v>5380</v>
      </c>
      <c r="D10" s="14">
        <v>7498</v>
      </c>
      <c r="E10" s="14">
        <v>6683</v>
      </c>
      <c r="F10" s="14">
        <v>7487</v>
      </c>
      <c r="G10" s="14">
        <v>10902</v>
      </c>
      <c r="H10" s="14">
        <v>6778</v>
      </c>
    </row>
    <row r="11" ht="20.05" customHeight="1">
      <c r="A11" t="s" s="23">
        <v>38</v>
      </c>
      <c r="B11" s="15">
        <v>6024</v>
      </c>
      <c r="C11" s="16">
        <v>6712</v>
      </c>
      <c r="D11" s="16">
        <v>5508</v>
      </c>
      <c r="E11" s="16">
        <v>7825</v>
      </c>
      <c r="F11" s="16">
        <v>8303</v>
      </c>
      <c r="G11" s="16">
        <v>9667</v>
      </c>
      <c r="H11" s="16">
        <v>11783</v>
      </c>
    </row>
    <row r="12" ht="20.05" customHeight="1">
      <c r="A12" t="s" s="23">
        <v>39</v>
      </c>
      <c r="B12" s="13">
        <v>9830</v>
      </c>
      <c r="C12" s="14">
        <v>9162</v>
      </c>
      <c r="D12" s="14">
        <v>6805</v>
      </c>
      <c r="E12" s="14">
        <v>7123</v>
      </c>
      <c r="F12" s="14">
        <v>6609</v>
      </c>
      <c r="G12" s="14">
        <v>7777</v>
      </c>
      <c r="H12" s="14">
        <v>5595</v>
      </c>
    </row>
    <row r="13" ht="20.05" customHeight="1">
      <c r="A13" t="s" s="23">
        <v>40</v>
      </c>
      <c r="B13" s="15">
        <v>8258</v>
      </c>
      <c r="C13" s="16">
        <v>7567</v>
      </c>
      <c r="D13" s="16">
        <v>6076</v>
      </c>
      <c r="E13" s="16">
        <v>7014</v>
      </c>
      <c r="F13" s="16">
        <v>7807</v>
      </c>
      <c r="G13" s="16">
        <v>7863</v>
      </c>
      <c r="H13" s="16">
        <v>5762</v>
      </c>
    </row>
    <row r="14" ht="20.05" customHeight="1">
      <c r="A14" t="s" s="23">
        <v>41</v>
      </c>
      <c r="B14" s="13"/>
      <c r="C14" s="14"/>
      <c r="D14" s="14"/>
      <c r="E14" s="14"/>
      <c r="F14" s="14"/>
      <c r="G14" s="14"/>
      <c r="H14" s="14"/>
    </row>
  </sheetData>
  <mergeCells count="1">
    <mergeCell ref="A1:H1"/>
  </mergeCells>
  <pageMargins left="0.25" right="0.25" top="0.25" bottom="0.25" header="0.25" footer="0.25"/>
  <pageSetup firstPageNumber="1" fitToHeight="1" fitToWidth="1" scale="9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2:B9"/>
  <sheetViews>
    <sheetView workbookViewId="0" showGridLines="0" defaultGridColor="1"/>
  </sheetViews>
  <sheetFormatPr defaultColWidth="27.75" defaultRowHeight="19.9" customHeight="1" outlineLevelRow="0" outlineLevelCol="0"/>
  <cols>
    <col min="1" max="1" width="17.4219" style="24" customWidth="1"/>
    <col min="2" max="2" width="18.3672" style="24" customWidth="1"/>
    <col min="3" max="16384" width="27.75" style="24" customWidth="1"/>
  </cols>
  <sheetData>
    <row r="1" ht="27.65" customHeight="1">
      <c r="A1" t="s" s="7">
        <v>42</v>
      </c>
      <c r="B1" s="7"/>
    </row>
    <row r="2" ht="32.25" customHeight="1">
      <c r="A2" t="s" s="21">
        <v>44</v>
      </c>
      <c r="B2" t="s" s="21">
        <v>45</v>
      </c>
    </row>
    <row r="3" ht="20.25" customHeight="1">
      <c r="A3" t="s" s="22">
        <v>27</v>
      </c>
      <c r="B3" s="10" cm="1">
        <f t="array" ref="B3">SUM('DAY WISE REPORT-1 - Table 1'!B3:B14)</f>
        <v>100198</v>
      </c>
    </row>
    <row r="4" ht="20.05" customHeight="1">
      <c r="A4" t="s" s="23">
        <v>28</v>
      </c>
      <c r="B4" s="13" cm="1">
        <f t="array" ref="B4">SUM('DAY WISE REPORT-1 - Table 1'!C3:C14)</f>
        <v>94425</v>
      </c>
    </row>
    <row r="5" ht="20.05" customHeight="1">
      <c r="A5" t="s" s="23">
        <v>29</v>
      </c>
      <c r="B5" s="15" cm="1">
        <f t="array" ref="B5">SUM('DAY WISE REPORT-1 - Table 1'!D3:D14)</f>
        <v>98468</v>
      </c>
    </row>
    <row r="6" ht="20.05" customHeight="1">
      <c r="A6" t="s" s="23">
        <v>30</v>
      </c>
      <c r="B6" s="13" cm="1">
        <f t="array" ref="B6">SUM('DAY WISE REPORT-1 - Table 1'!E3:E14)</f>
        <v>133795</v>
      </c>
    </row>
    <row r="7" ht="20.05" customHeight="1">
      <c r="A7" t="s" s="23">
        <v>31</v>
      </c>
      <c r="B7" s="15" cm="1">
        <f t="array" ref="B7">SUM('DAY WISE REPORT-1 - Table 1'!F3:F14)</f>
        <v>122191</v>
      </c>
    </row>
    <row r="8" ht="20.05" customHeight="1">
      <c r="A8" t="s" s="23">
        <v>32</v>
      </c>
      <c r="B8" s="13" cm="1">
        <f t="array" ref="B8">SUM('DAY WISE REPORT-1 - Table 1'!G3:G14)</f>
        <v>133751</v>
      </c>
    </row>
    <row r="9" ht="20.05" customHeight="1">
      <c r="A9" t="s" s="23">
        <v>33</v>
      </c>
      <c r="B9" s="15" cm="1">
        <f t="array" ref="B9">SUM('DAY WISE REPORT-1 - Table 1'!H3:H14)</f>
        <v>129419</v>
      </c>
    </row>
  </sheetData>
  <mergeCells count="1">
    <mergeCell ref="A1:B1"/>
  </mergeCells>
  <pageMargins left="0.25" right="0.25" top="0.25" bottom="0.25" header="0.25" footer="0.25"/>
  <pageSetup firstPageNumber="1" fitToHeight="1" fitToWidth="1" scale="9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2"/>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5" width="16.3516" style="25" customWidth="1"/>
    <col min="6" max="16384" width="16.3516" style="25" customWidth="1"/>
  </cols>
  <sheetData>
    <row r="1" ht="20.25" customHeight="1">
      <c r="A1" t="s" s="8">
        <v>48</v>
      </c>
      <c r="B1" s="26"/>
      <c r="C1" s="26"/>
      <c r="D1" s="26"/>
      <c r="E1" s="26"/>
    </row>
    <row r="2" ht="97.25" customHeight="1">
      <c r="A2" s="27"/>
      <c r="B2" t="s" s="28">
        <v>49</v>
      </c>
      <c r="C2" s="29"/>
      <c r="D2" s="29"/>
      <c r="E2" s="29"/>
    </row>
  </sheetData>
  <mergeCells count="2">
    <mergeCell ref="A1:E1"/>
    <mergeCell ref="B2:E2"/>
  </mergeCells>
  <pageMargins left="0.25" right="0.25" top="0.25" bottom="0.25" header="0.25" footer="0.25"/>
  <pageSetup firstPageNumber="1" fitToHeight="1" fitToWidth="1" scale="90" useFirstPageNumber="0" orientation="landscape"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6384" width="10" customWidth="1"/>
  </cols>
  <sheetData/>
  <pageMargins left="0.25" right="0.25" top="0.25" bottom="0.25" header="0.25" footer="0.25"/>
  <pageSetup firstPageNumber="1" fitToHeight="1" fitToWidth="1" scale="90" useFirstPageNumber="0" orientation="landscape" pageOrder="downThenOver"/>
  <headerFooter>
    <oddFooter>&amp;C&amp;"Helvetica Neue,Regular"&amp;12&amp;K000000&amp;P</oddFooter>
  </headerFooter>
  <drawing r:id="rId1"/>
</worksheet>
</file>

<file path=xl/worksheets/sheet7.xml><?xml version="1.0" encoding="utf-8"?>
<worksheet xmlns:r="http://schemas.openxmlformats.org/officeDocument/2006/relationships" xmlns="http://schemas.openxmlformats.org/spreadsheetml/2006/main">
  <sheetPr>
    <pageSetUpPr fitToPage="1"/>
  </sheetPr>
  <dimension ref="A2:D3"/>
  <sheetViews>
    <sheetView workbookViewId="0" showGridLines="0" defaultGridColor="1"/>
  </sheetViews>
  <sheetFormatPr defaultColWidth="27.75" defaultRowHeight="19.9" customHeight="1" outlineLevelRow="0" outlineLevelCol="0"/>
  <cols>
    <col min="1" max="1" width="24.6719" style="30" customWidth="1"/>
    <col min="2" max="2" width="18.3672" style="30" customWidth="1"/>
    <col min="3" max="4" width="18.7188" style="30" customWidth="1"/>
    <col min="5" max="16384" width="27.75" style="30" customWidth="1"/>
  </cols>
  <sheetData>
    <row r="1" ht="27.65" customHeight="1">
      <c r="A1" t="s" s="7">
        <v>53</v>
      </c>
      <c r="B1" s="7"/>
      <c r="C1" s="7"/>
      <c r="D1" s="7"/>
    </row>
    <row r="2" ht="20.25" customHeight="1">
      <c r="A2" t="s" s="21">
        <v>7</v>
      </c>
      <c r="B2" t="s" s="21">
        <v>55</v>
      </c>
      <c r="C2" t="s" s="21">
        <v>56</v>
      </c>
      <c r="D2" t="s" s="21">
        <v>57</v>
      </c>
    </row>
    <row r="3" ht="20.25" customHeight="1">
      <c r="A3" t="s" s="22">
        <v>58</v>
      </c>
      <c r="B3" s="10">
        <v>21052</v>
      </c>
      <c r="C3" s="11">
        <v>28398</v>
      </c>
      <c r="D3" s="11">
        <v>27922</v>
      </c>
    </row>
  </sheetData>
  <mergeCells count="1">
    <mergeCell ref="A1:D1"/>
  </mergeCells>
  <pageMargins left="0.25" right="0.25" top="0.25" bottom="0.25" header="0.25" footer="0.25"/>
  <pageSetup firstPageNumber="1" fitToHeight="1" fitToWidth="1" scale="100" useFirstPageNumber="0" orientation="landscape"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E2"/>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5" width="16.3516" style="31" customWidth="1"/>
    <col min="6" max="16384" width="16.3516" style="31" customWidth="1"/>
  </cols>
  <sheetData>
    <row r="1" ht="20.25" customHeight="1">
      <c r="A1" t="s" s="8">
        <v>48</v>
      </c>
      <c r="B1" s="26"/>
      <c r="C1" s="26"/>
      <c r="D1" s="26"/>
      <c r="E1" s="26"/>
    </row>
    <row r="2" ht="97.25" customHeight="1">
      <c r="A2" s="27"/>
      <c r="B2" t="s" s="28">
        <v>60</v>
      </c>
      <c r="C2" s="29"/>
      <c r="D2" s="29"/>
      <c r="E2" s="29"/>
    </row>
  </sheetData>
  <mergeCells count="2">
    <mergeCell ref="A1:E1"/>
    <mergeCell ref="B2:E2"/>
  </mergeCells>
  <pageMargins left="0.25" right="0.25" top="0.25" bottom="0.25" header="0.25" footer="0.25"/>
  <pageSetup firstPageNumber="1" fitToHeight="1" fitToWidth="1" scale="100" useFirstPageNumber="0" orientation="landscape"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16384" width="10" customWidth="1"/>
  </cols>
  <sheetData/>
  <pageMargins left="0.25" right="0.25" top="0.25" bottom="0.25" header="0.25" footer="0.25"/>
  <pageSetup firstPageNumber="1" fitToHeight="1" fitToWidth="1" scale="100" useFirstPageNumber="0" orientation="landscape" pageOrder="downThenOver"/>
  <headerFooter>
    <oddFooter>&amp;C&amp;"Helvetica Neue,Regular"&amp;12&amp;K000000&amp;P</oddFooter>
  </headerFooter>
  <drawing r:id="rId1"/>
</worksheet>
</file>

<file path=xl/worksheets/sheet10.xml><?xml version="1.0" encoding="utf-8"?>
<worksheet xmlns:r="http://schemas.openxmlformats.org/officeDocument/2006/relationships" xmlns="http://schemas.openxmlformats.org/spreadsheetml/2006/main">
  <sheetPr>
    <pageSetUpPr fitToPage="1"/>
  </sheetPr>
  <dimension ref="A2:B7"/>
  <sheetViews>
    <sheetView workbookViewId="0" showGridLines="0" defaultGridColor="1"/>
  </sheetViews>
  <sheetFormatPr defaultColWidth="27.75" defaultRowHeight="19.9" customHeight="1" outlineLevelRow="0" outlineLevelCol="0"/>
  <cols>
    <col min="1" max="1" width="17.4219" style="32" customWidth="1"/>
    <col min="2" max="2" width="18.3672" style="32" customWidth="1"/>
    <col min="3" max="16384" width="27.75" style="32" customWidth="1"/>
  </cols>
  <sheetData>
    <row r="1" ht="27.65" customHeight="1">
      <c r="A1" t="s" s="7">
        <v>63</v>
      </c>
      <c r="B1" s="7"/>
    </row>
    <row r="2" ht="20.25" customHeight="1">
      <c r="A2" s="21"/>
      <c r="B2" t="s" s="21">
        <v>65</v>
      </c>
    </row>
    <row r="3" ht="32.25" customHeight="1">
      <c r="A3" t="s" s="22">
        <v>66</v>
      </c>
      <c r="B3" s="33">
        <v>8360</v>
      </c>
    </row>
    <row r="4" ht="20.05" customHeight="1">
      <c r="A4" t="s" s="23">
        <v>67</v>
      </c>
      <c r="B4" s="34">
        <v>7695</v>
      </c>
    </row>
    <row r="5" ht="32.05" customHeight="1">
      <c r="A5" t="s" s="23">
        <v>68</v>
      </c>
      <c r="B5" s="35">
        <v>6520</v>
      </c>
    </row>
    <row r="6" ht="20.05" customHeight="1">
      <c r="A6" t="s" s="23">
        <v>69</v>
      </c>
      <c r="B6" s="34">
        <v>4702</v>
      </c>
    </row>
    <row r="7" ht="20.05" customHeight="1">
      <c r="A7" t="s" s="23">
        <v>70</v>
      </c>
      <c r="B7" s="35">
        <v>3960</v>
      </c>
    </row>
  </sheetData>
  <mergeCells count="1">
    <mergeCell ref="A1:B1"/>
  </mergeCells>
  <pageMargins left="0.25" right="0.25" top="0.25" bottom="0.25" header="0.25" footer="0.25"/>
  <pageSetup firstPageNumber="1" fitToHeight="1" fitToWidth="1" scale="100" useFirstPageNumber="0" orientation="landscape"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2:B12"/>
  <sheetViews>
    <sheetView workbookViewId="0" showGridLines="0" defaultGridColor="1"/>
  </sheetViews>
  <sheetFormatPr defaultColWidth="27.75" defaultRowHeight="19.9" customHeight="1" outlineLevelRow="0" outlineLevelCol="0"/>
  <cols>
    <col min="1" max="1" width="17.4219" style="36" customWidth="1"/>
    <col min="2" max="2" width="18.7188" style="36" customWidth="1"/>
    <col min="3" max="16384" width="27.75" style="36" customWidth="1"/>
  </cols>
  <sheetData>
    <row r="1" ht="27.65" customHeight="1">
      <c r="A1" t="s" s="7">
        <v>71</v>
      </c>
      <c r="B1" s="7"/>
    </row>
    <row r="2" ht="20.25" customHeight="1">
      <c r="A2" s="21"/>
      <c r="B2" t="s" s="21">
        <v>73</v>
      </c>
    </row>
    <row r="3" ht="20.25" customHeight="1">
      <c r="A3" t="s" s="22">
        <v>74</v>
      </c>
      <c r="B3" s="10">
        <v>12362</v>
      </c>
    </row>
    <row r="4" ht="32.05" customHeight="1">
      <c r="A4" t="s" s="23">
        <v>75</v>
      </c>
      <c r="B4" s="13">
        <v>8910</v>
      </c>
    </row>
    <row r="5" ht="20.05" customHeight="1">
      <c r="A5" t="s" s="23">
        <v>76</v>
      </c>
      <c r="B5" s="15">
        <v>7898</v>
      </c>
    </row>
    <row r="6" ht="20.05" customHeight="1">
      <c r="A6" t="s" s="23">
        <v>77</v>
      </c>
      <c r="B6" s="13">
        <v>7230</v>
      </c>
    </row>
    <row r="7" ht="20.05" customHeight="1">
      <c r="A7" t="s" s="23">
        <v>78</v>
      </c>
      <c r="B7" s="15">
        <v>5981</v>
      </c>
    </row>
    <row r="8" ht="20.05" customHeight="1">
      <c r="A8" t="s" s="23">
        <v>79</v>
      </c>
      <c r="B8" s="13">
        <v>5410</v>
      </c>
    </row>
    <row r="9" ht="20.05" customHeight="1">
      <c r="A9" t="s" s="23">
        <v>80</v>
      </c>
      <c r="B9" s="15">
        <v>4960</v>
      </c>
    </row>
    <row r="10" ht="20.05" customHeight="1">
      <c r="A10" t="s" s="23">
        <v>81</v>
      </c>
      <c r="B10" s="13">
        <v>3477</v>
      </c>
    </row>
    <row r="11" ht="20.05" customHeight="1">
      <c r="A11" t="s" s="23">
        <v>82</v>
      </c>
      <c r="B11" s="15">
        <v>3402</v>
      </c>
    </row>
    <row r="12" ht="20.05" customHeight="1">
      <c r="A12" t="s" s="23">
        <v>83</v>
      </c>
      <c r="B12" s="13">
        <v>2648</v>
      </c>
    </row>
  </sheetData>
  <mergeCells count="1">
    <mergeCell ref="A1:B1"/>
  </mergeCells>
  <pageMargins left="0.25" right="0.25" top="0.25" bottom="0.25" header="0.25" footer="0.25"/>
  <pageSetup firstPageNumber="1" fitToHeight="1" fitToWidth="1" scale="100" useFirstPageNumber="0" orientation="landscape"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B2"/>
  <sheetViews>
    <sheetView workbookViewId="0" showGridLines="0" defaultGridColor="1"/>
  </sheetViews>
  <sheetFormatPr defaultColWidth="27.75" defaultRowHeight="19.9" customHeight="1" outlineLevelRow="0" outlineLevelCol="0"/>
  <cols>
    <col min="1" max="2" width="49.9297" style="37" customWidth="1"/>
    <col min="3" max="16384" width="27.75" style="37" customWidth="1"/>
  </cols>
  <sheetData>
    <row r="1" ht="20.05" customHeight="1">
      <c r="A1" t="s" s="38">
        <v>86</v>
      </c>
      <c r="B1" t="s" s="38">
        <v>87</v>
      </c>
    </row>
    <row r="2" ht="54.3" customHeight="1">
      <c r="A2" t="s" s="39">
        <v>88</v>
      </c>
      <c r="B2" s="40"/>
    </row>
  </sheetData>
  <mergeCells count="1">
    <mergeCell ref="A2:B2"/>
  </mergeCells>
  <pageMargins left="0.25" right="0.25" top="0.25" bottom="0.25" header="0.25" footer="0.25"/>
  <pageSetup firstPageNumber="1" fitToHeight="1" fitToWidth="1" scale="100" useFirstPageNumber="0" orientation="landscape"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16384" width="10" customWidth="1"/>
  </cols>
  <sheetData/>
  <pageMargins left="0.25" right="0.25" top="0.25" bottom="0.25" header="0.25" footer="0.25"/>
  <pageSetup firstPageNumber="1" fitToHeight="1" fitToWidth="1" scale="100" useFirstPageNumber="0" orientation="landscape" pageOrder="downThenOver"/>
  <headerFooter>
    <oddFooter>&amp;C&amp;"Helvetica Neue,Regular"&amp;12&amp;K000000&amp;P</oddFooter>
  </headerFooter>
  <drawing r:id="rId1"/>
</worksheet>
</file>

<file path=xl/worksheets/sheet14.xml><?xml version="1.0" encoding="utf-8"?>
<worksheet xmlns:r="http://schemas.openxmlformats.org/officeDocument/2006/relationships" xmlns="http://schemas.openxmlformats.org/spreadsheetml/2006/main">
  <sheetPr>
    <pageSetUpPr fitToPage="1"/>
  </sheetPr>
  <dimension ref="A2:B7"/>
  <sheetViews>
    <sheetView workbookViewId="0" showGridLines="0" defaultGridColor="1"/>
  </sheetViews>
  <sheetFormatPr defaultColWidth="27.75" defaultRowHeight="19.9" customHeight="1" outlineLevelRow="0" outlineLevelCol="0"/>
  <cols>
    <col min="1" max="1" width="17.4219" style="41" customWidth="1"/>
    <col min="2" max="2" width="18.3672" style="41" customWidth="1"/>
    <col min="3" max="16384" width="27.75" style="41" customWidth="1"/>
  </cols>
  <sheetData>
    <row r="1" ht="27.65" customHeight="1">
      <c r="A1" t="s" s="7">
        <v>91</v>
      </c>
      <c r="B1" s="7"/>
    </row>
    <row r="2" ht="20.25" customHeight="1">
      <c r="A2" s="21"/>
      <c r="B2" t="s" s="21">
        <v>65</v>
      </c>
    </row>
    <row r="3" ht="20.25" customHeight="1">
      <c r="A3" t="s" s="22">
        <v>93</v>
      </c>
      <c r="B3" s="10">
        <v>1403</v>
      </c>
    </row>
    <row r="4" ht="20.05" customHeight="1">
      <c r="A4" t="s" s="23">
        <v>94</v>
      </c>
      <c r="B4" s="13">
        <v>1534</v>
      </c>
    </row>
    <row r="5" ht="20.05" customHeight="1">
      <c r="A5" t="s" s="23">
        <v>95</v>
      </c>
      <c r="B5" s="15">
        <v>1957</v>
      </c>
    </row>
    <row r="6" ht="32.05" customHeight="1">
      <c r="A6" t="s" s="23">
        <v>96</v>
      </c>
      <c r="B6" s="13">
        <v>2180</v>
      </c>
    </row>
    <row r="7" ht="20.05" customHeight="1">
      <c r="A7" t="s" s="23">
        <v>97</v>
      </c>
      <c r="B7" s="15">
        <v>2564</v>
      </c>
    </row>
  </sheetData>
  <mergeCells count="1">
    <mergeCell ref="A1:B1"/>
  </mergeCells>
  <pageMargins left="0.25" right="0.25" top="0.25" bottom="0.25" header="0.25" footer="0.25"/>
  <pageSetup firstPageNumber="1" fitToHeight="1" fitToWidth="1" scale="100" useFirstPageNumber="0" orientation="landscape"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2:B12"/>
  <sheetViews>
    <sheetView workbookViewId="0" showGridLines="0" defaultGridColor="1"/>
  </sheetViews>
  <sheetFormatPr defaultColWidth="27.75" defaultRowHeight="19.9" customHeight="1" outlineLevelRow="0" outlineLevelCol="0"/>
  <cols>
    <col min="1" max="1" width="17.4219" style="42" customWidth="1"/>
    <col min="2" max="2" width="18.7188" style="42" customWidth="1"/>
    <col min="3" max="16384" width="27.75" style="42" customWidth="1"/>
  </cols>
  <sheetData>
    <row r="1" ht="27.65" customHeight="1">
      <c r="A1" t="s" s="7">
        <v>98</v>
      </c>
      <c r="B1" s="7"/>
    </row>
    <row r="2" ht="20.25" customHeight="1">
      <c r="A2" s="21"/>
      <c r="B2" t="s" s="21">
        <v>73</v>
      </c>
    </row>
    <row r="3" ht="20.25" customHeight="1">
      <c r="A3" t="s" s="22">
        <v>100</v>
      </c>
      <c r="B3" s="10">
        <v>198</v>
      </c>
    </row>
    <row r="4" ht="20.05" customHeight="1">
      <c r="A4" t="s" s="23">
        <v>101</v>
      </c>
      <c r="B4" s="13">
        <v>288</v>
      </c>
    </row>
    <row r="5" ht="20.05" customHeight="1">
      <c r="A5" t="s" s="23">
        <v>102</v>
      </c>
      <c r="B5" s="15">
        <v>304</v>
      </c>
    </row>
    <row r="6" ht="32.05" customHeight="1">
      <c r="A6" t="s" s="23">
        <v>103</v>
      </c>
      <c r="B6" s="13">
        <v>320</v>
      </c>
    </row>
    <row r="7" ht="20.05" customHeight="1">
      <c r="A7" t="s" s="23">
        <v>104</v>
      </c>
      <c r="B7" s="15">
        <v>384</v>
      </c>
    </row>
    <row r="8" ht="20.05" customHeight="1">
      <c r="A8" t="s" s="23">
        <v>105</v>
      </c>
      <c r="B8" s="13">
        <v>570</v>
      </c>
    </row>
    <row r="9" ht="20.05" customHeight="1">
      <c r="A9" t="s" s="23">
        <v>106</v>
      </c>
      <c r="B9" s="15">
        <v>570</v>
      </c>
    </row>
    <row r="10" ht="20.05" customHeight="1">
      <c r="A10" t="s" s="23">
        <v>107</v>
      </c>
      <c r="B10" s="13">
        <v>684</v>
      </c>
    </row>
    <row r="11" ht="20.05" customHeight="1">
      <c r="A11" t="s" s="23">
        <v>108</v>
      </c>
      <c r="B11" s="15">
        <v>760</v>
      </c>
    </row>
    <row r="12" ht="20.05" customHeight="1">
      <c r="A12" t="s" s="23">
        <v>109</v>
      </c>
      <c r="B12" s="13">
        <v>810</v>
      </c>
    </row>
  </sheetData>
  <mergeCells count="1">
    <mergeCell ref="A1:B1"/>
  </mergeCells>
  <pageMargins left="0.25" right="0.25" top="0.25" bottom="0.25" header="0.25" footer="0.25"/>
  <pageSetup firstPageNumber="1" fitToHeight="1" fitToWidth="1" scale="100" useFirstPageNumber="0" orientation="landscape"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B2"/>
  <sheetViews>
    <sheetView workbookViewId="0" showGridLines="0" defaultGridColor="1"/>
  </sheetViews>
  <sheetFormatPr defaultColWidth="27.75" defaultRowHeight="19.9" customHeight="1" outlineLevelRow="0" outlineLevelCol="0"/>
  <cols>
    <col min="1" max="1" width="17.4219" style="43" customWidth="1"/>
    <col min="2" max="2" width="49.9297" style="43" customWidth="1"/>
    <col min="3" max="16384" width="27.75" style="43" customWidth="1"/>
  </cols>
  <sheetData>
    <row r="1" ht="20.25" customHeight="1">
      <c r="A1" s="26"/>
      <c r="B1" s="21"/>
    </row>
    <row r="2" ht="32.25" customHeight="1">
      <c r="A2" t="s" s="22">
        <v>86</v>
      </c>
      <c r="B2" t="s" s="44">
        <v>111</v>
      </c>
    </row>
  </sheetData>
  <pageMargins left="0.25" right="0.25" top="0.25" bottom="0.25" header="0.25" footer="0.25"/>
  <pageSetup firstPageNumber="1" fitToHeight="1" fitToWidth="1" scale="100" useFirstPageNumber="0" orientation="landscape"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16384" width="10" customWidth="1"/>
  </cols>
  <sheetData/>
  <pageMargins left="0.25" right="0.25" top="0.25" bottom="0.25" header="0.25" footer="0.25"/>
  <pageSetup firstPageNumber="1" fitToHeight="1" fitToWidth="1" scale="100" useFirstPageNumber="0" orientation="landscape" pageOrder="downThenOver"/>
  <headerFooter>
    <oddFooter>&amp;C&amp;"Helvetica Neue,Regular"&amp;12&amp;K000000&amp;P</oddFooter>
  </headerFooter>
  <drawing r:id="rId1"/>
</worksheet>
</file>

<file path=xl/worksheets/sheet18.xml><?xml version="1.0" encoding="utf-8"?>
<worksheet xmlns:r="http://schemas.openxmlformats.org/officeDocument/2006/relationships" xmlns="http://schemas.openxmlformats.org/spreadsheetml/2006/main">
  <sheetPr>
    <pageSetUpPr fitToPage="1"/>
  </sheetPr>
  <dimension ref="B3:C14"/>
  <sheetViews>
    <sheetView workbookViewId="0" showGridLines="0" defaultGridColor="1">
      <pane topLeftCell="C4" xSplit="2" ySplit="3" activePane="bottomRight" state="frozen"/>
    </sheetView>
  </sheetViews>
  <sheetFormatPr defaultColWidth="16.3333" defaultRowHeight="19.9" customHeight="1" outlineLevelRow="0" outlineLevelCol="0"/>
  <cols>
    <col min="1" max="1" width="1.07031" style="45" customWidth="1"/>
    <col min="2" max="2" width="21.4453" style="45" customWidth="1"/>
    <col min="3" max="3" width="20.1641" style="45" customWidth="1"/>
    <col min="4" max="16384" width="16.3516" style="45" customWidth="1"/>
  </cols>
  <sheetData>
    <row r="1" ht="25" customHeight="1"/>
    <row r="2" ht="27.65" customHeight="1">
      <c r="B2" t="s" s="7">
        <v>114</v>
      </c>
      <c r="C2" s="7"/>
    </row>
    <row r="3" ht="20.25" customHeight="1">
      <c r="B3" t="s" s="8">
        <v>116</v>
      </c>
      <c r="C3" s="26"/>
    </row>
    <row r="4" ht="20.25" customHeight="1">
      <c r="B4" t="s" s="22">
        <v>117</v>
      </c>
      <c r="C4" s="46">
        <v>72897</v>
      </c>
    </row>
    <row r="5" ht="20.05" customHeight="1">
      <c r="B5" t="s" s="23">
        <v>118</v>
      </c>
      <c r="C5" s="47">
        <v>27043.47</v>
      </c>
    </row>
    <row r="6" ht="20.05" customHeight="1">
      <c r="B6" t="s" s="23">
        <v>119</v>
      </c>
      <c r="C6" s="48">
        <v>65294</v>
      </c>
    </row>
    <row r="7" ht="20.05" customHeight="1">
      <c r="B7" t="s" s="23">
        <v>120</v>
      </c>
      <c r="C7" s="48">
        <v>6458</v>
      </c>
    </row>
    <row r="8" ht="20.05" customHeight="1">
      <c r="B8" t="s" s="23">
        <v>121</v>
      </c>
      <c r="C8" s="48">
        <v>2200</v>
      </c>
    </row>
    <row r="9" ht="20.05" customHeight="1">
      <c r="B9" t="s" s="23">
        <v>122</v>
      </c>
      <c r="C9" s="48">
        <v>20000</v>
      </c>
    </row>
    <row r="10" ht="20.05" customHeight="1">
      <c r="B10" t="s" s="23">
        <v>123</v>
      </c>
      <c r="C10" s="48">
        <v>20234.46</v>
      </c>
    </row>
    <row r="11" ht="20.05" customHeight="1">
      <c r="B11" t="s" s="23">
        <v>124</v>
      </c>
      <c r="C11" s="48">
        <v>6779.93</v>
      </c>
    </row>
    <row r="12" ht="20.05" customHeight="1">
      <c r="B12" t="s" s="49">
        <v>125</v>
      </c>
      <c r="C12" s="18" cm="1">
        <f t="array" ref="C12">SUM(C4+C5)-(C6+C7+C8+C9+C10+C11)</f>
        <v>-21025.92</v>
      </c>
    </row>
    <row r="13" ht="20.05" customHeight="1">
      <c r="B13" t="s" s="50">
        <v>126</v>
      </c>
      <c r="C13" t="s" s="51">
        <v>127</v>
      </c>
    </row>
    <row r="14" ht="24" customHeight="1">
      <c r="B14" s="52"/>
      <c r="C14" t="s" s="53">
        <v>128</v>
      </c>
    </row>
  </sheetData>
  <mergeCells count="3">
    <mergeCell ref="B2:C2"/>
    <mergeCell ref="B3:C3"/>
    <mergeCell ref="B13:B14"/>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2:D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54" customWidth="1"/>
    <col min="5" max="16384" width="16.3516" style="54" customWidth="1"/>
  </cols>
  <sheetData>
    <row r="1" ht="27.65" customHeight="1">
      <c r="A1" t="s" s="7">
        <v>130</v>
      </c>
      <c r="B1" s="7"/>
      <c r="C1" s="7"/>
      <c r="D1" s="7"/>
    </row>
    <row r="2" ht="21.7" customHeight="1">
      <c r="A2" t="s" s="55">
        <v>132</v>
      </c>
      <c r="B2" t="s" s="55">
        <v>133</v>
      </c>
      <c r="C2" t="s" s="55">
        <v>134</v>
      </c>
      <c r="D2" s="56"/>
    </row>
    <row r="3" ht="21.7" customHeight="1">
      <c r="A3" t="s" s="57">
        <v>135</v>
      </c>
      <c r="B3" t="s" s="58">
        <v>136</v>
      </c>
      <c r="C3" s="59">
        <v>44155</v>
      </c>
      <c r="D3" s="60">
        <v>45536</v>
      </c>
    </row>
    <row r="4" ht="21.7" customHeight="1">
      <c r="A4" t="s" s="57">
        <v>137</v>
      </c>
      <c r="B4" t="s" s="58">
        <v>138</v>
      </c>
      <c r="C4" s="59">
        <v>25665</v>
      </c>
      <c r="D4" s="61"/>
    </row>
    <row r="5" ht="21.7" customHeight="1">
      <c r="A5" t="s" s="57">
        <v>139</v>
      </c>
      <c r="B5" t="s" s="58">
        <v>140</v>
      </c>
      <c r="C5" s="59">
        <v>45271</v>
      </c>
      <c r="D5" s="62">
        <v>45566</v>
      </c>
    </row>
    <row r="6" ht="33.7" customHeight="1">
      <c r="A6" t="s" s="57">
        <v>141</v>
      </c>
      <c r="B6" t="s" s="58">
        <v>142</v>
      </c>
      <c r="C6" s="59">
        <v>15758.35</v>
      </c>
      <c r="D6" s="61"/>
    </row>
    <row r="7" ht="33.7" customHeight="1">
      <c r="A7" t="s" s="57">
        <v>143</v>
      </c>
      <c r="B7" t="s" s="58">
        <v>144</v>
      </c>
      <c r="C7" s="59">
        <v>12608</v>
      </c>
      <c r="D7" s="61"/>
    </row>
    <row r="8" ht="21.7" customHeight="1">
      <c r="A8" t="s" s="57">
        <v>145</v>
      </c>
      <c r="B8" t="s" s="58">
        <v>146</v>
      </c>
      <c r="C8" s="59">
        <v>68719.8</v>
      </c>
      <c r="D8" s="63">
        <v>45597</v>
      </c>
    </row>
    <row r="9" ht="21.7" customHeight="1">
      <c r="A9" t="s" s="57">
        <v>147</v>
      </c>
      <c r="B9" t="s" s="58">
        <v>148</v>
      </c>
      <c r="C9" s="59">
        <v>15100</v>
      </c>
      <c r="D9" s="61"/>
    </row>
    <row r="10" ht="21.7" customHeight="1">
      <c r="A10" s="64"/>
      <c r="B10" s="61"/>
      <c r="C10" s="59"/>
      <c r="D10" s="59"/>
    </row>
    <row r="11" ht="21.7" customHeight="1">
      <c r="A11" s="64"/>
      <c r="B11" s="61"/>
      <c r="C11" s="59"/>
      <c r="D11" s="59"/>
    </row>
    <row r="12" ht="22.2" customHeight="1">
      <c r="A12" t="s" s="65">
        <v>125</v>
      </c>
      <c r="B12" s="66"/>
      <c r="C12" s="67" cm="1">
        <f t="array" ref="C12">SUM(C3:C11)</f>
        <v>227277.15</v>
      </c>
      <c r="D12" s="68"/>
    </row>
  </sheetData>
  <mergeCells count="4">
    <mergeCell ref="A1:D1"/>
    <mergeCell ref="D3:D4"/>
    <mergeCell ref="D5:D7"/>
    <mergeCell ref="D8:D9"/>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69" customWidth="1"/>
    <col min="6" max="16384" width="16.3516" style="69" customWidth="1"/>
  </cols>
  <sheetData>
    <row r="1" ht="27.65" customHeight="1">
      <c r="A1" t="s" s="7">
        <v>25</v>
      </c>
      <c r="B1" s="7"/>
      <c r="C1" s="7"/>
      <c r="D1" s="7"/>
      <c r="E1" s="7"/>
    </row>
    <row r="2" ht="20.25" customHeight="1">
      <c r="A2" s="26"/>
      <c r="B2" s="26"/>
      <c r="C2" s="26"/>
      <c r="D2" s="26"/>
      <c r="E2" s="26"/>
    </row>
    <row r="3" ht="20.25" customHeight="1">
      <c r="A3" s="27"/>
      <c r="B3" s="70"/>
      <c r="C3" s="29"/>
      <c r="D3" s="29"/>
      <c r="E3" s="29"/>
    </row>
    <row r="4" ht="20.05" customHeight="1">
      <c r="A4" s="52"/>
      <c r="B4" s="71"/>
      <c r="C4" s="72"/>
      <c r="D4" s="72"/>
      <c r="E4" s="72"/>
    </row>
    <row r="5" ht="20.05" customHeight="1">
      <c r="A5" s="52"/>
      <c r="B5" s="71"/>
      <c r="C5" s="72"/>
      <c r="D5" s="72"/>
      <c r="E5" s="72"/>
    </row>
    <row r="6" ht="20.05" customHeight="1">
      <c r="A6" s="52"/>
      <c r="B6" s="71"/>
      <c r="C6" s="72"/>
      <c r="D6" s="72"/>
      <c r="E6" s="72"/>
    </row>
    <row r="7" ht="20.05" customHeight="1">
      <c r="A7" s="52"/>
      <c r="B7" s="71"/>
      <c r="C7" s="72"/>
      <c r="D7" s="72"/>
      <c r="E7" s="72"/>
    </row>
    <row r="8" ht="20.05" customHeight="1">
      <c r="A8" s="52"/>
      <c r="B8" s="71"/>
      <c r="C8" s="72"/>
      <c r="D8" s="72"/>
      <c r="E8" s="72"/>
    </row>
    <row r="9" ht="20.05" customHeight="1">
      <c r="A9" s="52"/>
      <c r="B9" s="71"/>
      <c r="C9" s="72"/>
      <c r="D9" s="72"/>
      <c r="E9" s="72"/>
    </row>
    <row r="10" ht="20.05" customHeight="1">
      <c r="A10" s="52"/>
      <c r="B10" s="71"/>
      <c r="C10" s="72"/>
      <c r="D10" s="72"/>
      <c r="E10" s="72"/>
    </row>
    <row r="11" ht="20.05" customHeight="1">
      <c r="A11" s="52"/>
      <c r="B11" s="71"/>
      <c r="C11" s="72"/>
      <c r="D11" s="72"/>
      <c r="E11" s="72"/>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
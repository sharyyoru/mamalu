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baiholding-my.sharepoint.com/personal/bregandel_manalo_dham_ae/Documents/Desktop/REFUND/REPORTS/2025/DEC 2025/"/>
    </mc:Choice>
  </mc:AlternateContent>
  <xr:revisionPtr revIDLastSave="0" documentId="8_{0C66DD85-518C-4040-A3FC-EF71C650C6AD}" xr6:coauthVersionLast="47" xr6:coauthVersionMax="47" xr10:uidLastSave="{00000000-0000-0000-0000-000000000000}"/>
  <bookViews>
    <workbookView xWindow="-110" yWindow="-110" windowWidth="19420" windowHeight="10300" xr2:uid="{B397EB33-1951-40A1-92C8-DB8EFEA968FA}"/>
  </bookViews>
  <sheets>
    <sheet name="DECEMBER 2025" sheetId="3" r:id="rId1"/>
  </sheets>
  <definedNames>
    <definedName name="_xlnm._FilterDatabase" localSheetId="0" hidden="1">'DECEMBER 2025'!$A$3:$M$197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6" i="3" l="1"/>
  <c r="F222" i="3"/>
  <c r="F221" i="3"/>
  <c r="F220" i="3"/>
  <c r="F219" i="3"/>
  <c r="F218" i="3"/>
  <c r="F217" i="3"/>
  <c r="F216" i="3"/>
  <c r="F215" i="3"/>
  <c r="F214" i="3"/>
  <c r="F213" i="3"/>
  <c r="J98" i="3" l="1"/>
  <c r="L98" i="3"/>
  <c r="H98" i="3"/>
  <c r="L188" i="3"/>
  <c r="J43" i="3"/>
  <c r="H43" i="3"/>
  <c r="J72" i="3"/>
  <c r="L72" i="3"/>
  <c r="H72" i="3"/>
  <c r="J19" i="3"/>
  <c r="L19" i="3"/>
  <c r="H19" i="3"/>
  <c r="H202" i="3"/>
  <c r="I202" i="3" s="1"/>
  <c r="I197" i="3"/>
  <c r="G197" i="3"/>
  <c r="L196" i="3"/>
  <c r="J196" i="3"/>
  <c r="H196" i="3"/>
  <c r="L195" i="3"/>
  <c r="J195" i="3"/>
  <c r="H195" i="3"/>
  <c r="L194" i="3"/>
  <c r="J194" i="3"/>
  <c r="H194" i="3"/>
  <c r="L193" i="3"/>
  <c r="J193" i="3"/>
  <c r="H193" i="3"/>
  <c r="L192" i="3"/>
  <c r="J192" i="3"/>
  <c r="H192" i="3"/>
  <c r="L191" i="3"/>
  <c r="J191" i="3"/>
  <c r="H191" i="3"/>
  <c r="L190" i="3"/>
  <c r="J190" i="3"/>
  <c r="H190" i="3"/>
  <c r="L189" i="3"/>
  <c r="J189" i="3"/>
  <c r="H189" i="3"/>
  <c r="J188" i="3"/>
  <c r="H188" i="3"/>
  <c r="L187" i="3"/>
  <c r="J187" i="3"/>
  <c r="H187" i="3"/>
  <c r="L186" i="3"/>
  <c r="J186" i="3"/>
  <c r="H186" i="3"/>
  <c r="L185" i="3"/>
  <c r="J185" i="3"/>
  <c r="H185" i="3"/>
  <c r="L184" i="3"/>
  <c r="J184" i="3"/>
  <c r="H184" i="3"/>
  <c r="L183" i="3"/>
  <c r="J183" i="3"/>
  <c r="H183" i="3"/>
  <c r="L182" i="3"/>
  <c r="J182" i="3"/>
  <c r="H182" i="3"/>
  <c r="L181" i="3"/>
  <c r="J181" i="3"/>
  <c r="H181" i="3"/>
  <c r="L180" i="3"/>
  <c r="J180" i="3"/>
  <c r="H180" i="3"/>
  <c r="L179" i="3"/>
  <c r="J179" i="3"/>
  <c r="H179" i="3"/>
  <c r="L178" i="3"/>
  <c r="J178" i="3"/>
  <c r="H178" i="3"/>
  <c r="L177" i="3"/>
  <c r="J177" i="3"/>
  <c r="H177" i="3"/>
  <c r="L176" i="3"/>
  <c r="J176" i="3"/>
  <c r="H176" i="3"/>
  <c r="L175" i="3"/>
  <c r="J175" i="3"/>
  <c r="H175" i="3"/>
  <c r="L174" i="3"/>
  <c r="J174" i="3"/>
  <c r="H174" i="3"/>
  <c r="L173" i="3"/>
  <c r="J173" i="3"/>
  <c r="H173" i="3"/>
  <c r="L172" i="3"/>
  <c r="J172" i="3"/>
  <c r="H172" i="3"/>
  <c r="L171" i="3"/>
  <c r="J171" i="3"/>
  <c r="H171" i="3"/>
  <c r="L170" i="3"/>
  <c r="J170" i="3"/>
  <c r="H170" i="3"/>
  <c r="L169" i="3"/>
  <c r="J169" i="3"/>
  <c r="H169" i="3"/>
  <c r="L168" i="3"/>
  <c r="J168" i="3"/>
  <c r="H168" i="3"/>
  <c r="L167" i="3"/>
  <c r="J167" i="3"/>
  <c r="H167" i="3"/>
  <c r="L166" i="3"/>
  <c r="J166" i="3"/>
  <c r="H166" i="3"/>
  <c r="L165" i="3"/>
  <c r="J165" i="3"/>
  <c r="H165" i="3"/>
  <c r="L164" i="3"/>
  <c r="J164" i="3"/>
  <c r="H164" i="3"/>
  <c r="L163" i="3"/>
  <c r="J163" i="3"/>
  <c r="H163" i="3"/>
  <c r="L162" i="3"/>
  <c r="J162" i="3"/>
  <c r="H162" i="3"/>
  <c r="L161" i="3"/>
  <c r="J161" i="3"/>
  <c r="H161" i="3"/>
  <c r="L160" i="3"/>
  <c r="J160" i="3"/>
  <c r="H160" i="3"/>
  <c r="L159" i="3"/>
  <c r="J159" i="3"/>
  <c r="H159" i="3"/>
  <c r="L158" i="3"/>
  <c r="J158" i="3"/>
  <c r="H158" i="3"/>
  <c r="L157" i="3"/>
  <c r="J157" i="3"/>
  <c r="H157" i="3"/>
  <c r="J156" i="3"/>
  <c r="H156" i="3"/>
  <c r="L155" i="3"/>
  <c r="J155" i="3"/>
  <c r="H155" i="3"/>
  <c r="L154" i="3"/>
  <c r="J154" i="3"/>
  <c r="H154" i="3"/>
  <c r="L153" i="3"/>
  <c r="J153" i="3"/>
  <c r="H153" i="3"/>
  <c r="L152" i="3"/>
  <c r="J152" i="3"/>
  <c r="H152" i="3"/>
  <c r="L151" i="3"/>
  <c r="J151" i="3"/>
  <c r="H151" i="3"/>
  <c r="L150" i="3"/>
  <c r="J150" i="3"/>
  <c r="H150" i="3"/>
  <c r="L149" i="3"/>
  <c r="J149" i="3"/>
  <c r="H149" i="3"/>
  <c r="L148" i="3"/>
  <c r="J148" i="3"/>
  <c r="H148" i="3"/>
  <c r="L147" i="3"/>
  <c r="J147" i="3"/>
  <c r="H147" i="3"/>
  <c r="L146" i="3"/>
  <c r="J146" i="3"/>
  <c r="H146" i="3"/>
  <c r="L145" i="3"/>
  <c r="J145" i="3"/>
  <c r="H145" i="3"/>
  <c r="L144" i="3"/>
  <c r="J144" i="3"/>
  <c r="H144" i="3"/>
  <c r="L143" i="3"/>
  <c r="J143" i="3"/>
  <c r="H143" i="3"/>
  <c r="L142" i="3"/>
  <c r="J142" i="3"/>
  <c r="H142" i="3"/>
  <c r="L141" i="3"/>
  <c r="J141" i="3"/>
  <c r="H141" i="3"/>
  <c r="L140" i="3"/>
  <c r="J140" i="3"/>
  <c r="H140" i="3"/>
  <c r="L139" i="3"/>
  <c r="J139" i="3"/>
  <c r="H139" i="3"/>
  <c r="L138" i="3"/>
  <c r="J138" i="3"/>
  <c r="H138" i="3"/>
  <c r="L137" i="3"/>
  <c r="J137" i="3"/>
  <c r="H137" i="3"/>
  <c r="L136" i="3"/>
  <c r="J136" i="3"/>
  <c r="H136" i="3"/>
  <c r="L135" i="3"/>
  <c r="J135" i="3"/>
  <c r="H135" i="3"/>
  <c r="L134" i="3"/>
  <c r="J134" i="3"/>
  <c r="H134" i="3"/>
  <c r="L133" i="3"/>
  <c r="J133" i="3"/>
  <c r="H133" i="3"/>
  <c r="L132" i="3"/>
  <c r="J132" i="3"/>
  <c r="H132" i="3"/>
  <c r="L131" i="3"/>
  <c r="J131" i="3"/>
  <c r="H131" i="3"/>
  <c r="L130" i="3"/>
  <c r="J130" i="3"/>
  <c r="H130" i="3"/>
  <c r="L129" i="3"/>
  <c r="J129" i="3"/>
  <c r="H129" i="3"/>
  <c r="L128" i="3"/>
  <c r="J128" i="3"/>
  <c r="H128" i="3"/>
  <c r="L127" i="3"/>
  <c r="J127" i="3"/>
  <c r="H127" i="3"/>
  <c r="L126" i="3"/>
  <c r="J126" i="3"/>
  <c r="H126" i="3"/>
  <c r="L125" i="3"/>
  <c r="J125" i="3"/>
  <c r="H125" i="3"/>
  <c r="L124" i="3"/>
  <c r="J124" i="3"/>
  <c r="H124" i="3"/>
  <c r="L123" i="3"/>
  <c r="J123" i="3"/>
  <c r="H123" i="3"/>
  <c r="L122" i="3"/>
  <c r="J122" i="3"/>
  <c r="H122" i="3"/>
  <c r="L121" i="3"/>
  <c r="J121" i="3"/>
  <c r="H121" i="3"/>
  <c r="L120" i="3"/>
  <c r="J120" i="3"/>
  <c r="H120" i="3"/>
  <c r="L119" i="3"/>
  <c r="J119" i="3"/>
  <c r="H119" i="3"/>
  <c r="L118" i="3"/>
  <c r="J118" i="3"/>
  <c r="H118" i="3"/>
  <c r="L117" i="3"/>
  <c r="J117" i="3"/>
  <c r="H117" i="3"/>
  <c r="L116" i="3"/>
  <c r="J116" i="3"/>
  <c r="H116" i="3"/>
  <c r="L115" i="3"/>
  <c r="J115" i="3"/>
  <c r="H115" i="3"/>
  <c r="L114" i="3"/>
  <c r="J114" i="3"/>
  <c r="H114" i="3"/>
  <c r="L113" i="3"/>
  <c r="J113" i="3"/>
  <c r="H113" i="3"/>
  <c r="L112" i="3"/>
  <c r="J112" i="3"/>
  <c r="H112" i="3"/>
  <c r="L111" i="3"/>
  <c r="J111" i="3"/>
  <c r="H111" i="3"/>
  <c r="L110" i="3"/>
  <c r="J110" i="3"/>
  <c r="H110" i="3"/>
  <c r="L109" i="3"/>
  <c r="J109" i="3"/>
  <c r="H109" i="3"/>
  <c r="L108" i="3"/>
  <c r="J108" i="3"/>
  <c r="H108" i="3"/>
  <c r="L107" i="3"/>
  <c r="J107" i="3"/>
  <c r="H107" i="3"/>
  <c r="L106" i="3"/>
  <c r="J106" i="3"/>
  <c r="H106" i="3"/>
  <c r="L105" i="3"/>
  <c r="J105" i="3"/>
  <c r="H105" i="3"/>
  <c r="L104" i="3"/>
  <c r="J104" i="3"/>
  <c r="H104" i="3"/>
  <c r="L103" i="3"/>
  <c r="J103" i="3"/>
  <c r="H103" i="3"/>
  <c r="L102" i="3"/>
  <c r="J102" i="3"/>
  <c r="H102" i="3"/>
  <c r="L101" i="3"/>
  <c r="J101" i="3"/>
  <c r="H101" i="3"/>
  <c r="L100" i="3"/>
  <c r="J100" i="3"/>
  <c r="H100" i="3"/>
  <c r="L99" i="3"/>
  <c r="J99" i="3"/>
  <c r="H99" i="3"/>
  <c r="L97" i="3"/>
  <c r="J97" i="3"/>
  <c r="H97" i="3"/>
  <c r="L96" i="3"/>
  <c r="J96" i="3"/>
  <c r="H96" i="3"/>
  <c r="L95" i="3"/>
  <c r="J95" i="3"/>
  <c r="H95" i="3"/>
  <c r="L94" i="3"/>
  <c r="J94" i="3"/>
  <c r="H94" i="3"/>
  <c r="L93" i="3"/>
  <c r="J93" i="3"/>
  <c r="H93" i="3"/>
  <c r="L92" i="3"/>
  <c r="J92" i="3"/>
  <c r="H92" i="3"/>
  <c r="L91" i="3"/>
  <c r="J91" i="3"/>
  <c r="H91" i="3"/>
  <c r="L90" i="3"/>
  <c r="J90" i="3"/>
  <c r="H90" i="3"/>
  <c r="L89" i="3"/>
  <c r="J89" i="3"/>
  <c r="H89" i="3"/>
  <c r="L88" i="3"/>
  <c r="J88" i="3"/>
  <c r="H88" i="3"/>
  <c r="L87" i="3"/>
  <c r="J87" i="3"/>
  <c r="H87" i="3"/>
  <c r="L86" i="3"/>
  <c r="J86" i="3"/>
  <c r="H86" i="3"/>
  <c r="L85" i="3"/>
  <c r="J85" i="3"/>
  <c r="H85" i="3"/>
  <c r="L84" i="3"/>
  <c r="J84" i="3"/>
  <c r="H84" i="3"/>
  <c r="L83" i="3"/>
  <c r="J83" i="3"/>
  <c r="H83" i="3"/>
  <c r="L82" i="3"/>
  <c r="J82" i="3"/>
  <c r="H82" i="3"/>
  <c r="L81" i="3"/>
  <c r="J81" i="3"/>
  <c r="H81" i="3"/>
  <c r="L80" i="3"/>
  <c r="J80" i="3"/>
  <c r="H80" i="3"/>
  <c r="L79" i="3"/>
  <c r="J79" i="3"/>
  <c r="H79" i="3"/>
  <c r="L78" i="3"/>
  <c r="J78" i="3"/>
  <c r="H78" i="3"/>
  <c r="L77" i="3"/>
  <c r="J77" i="3"/>
  <c r="H77" i="3"/>
  <c r="L76" i="3"/>
  <c r="J76" i="3"/>
  <c r="H76" i="3"/>
  <c r="L75" i="3"/>
  <c r="J75" i="3"/>
  <c r="H75" i="3"/>
  <c r="L74" i="3"/>
  <c r="J74" i="3"/>
  <c r="H74" i="3"/>
  <c r="L73" i="3"/>
  <c r="J73" i="3"/>
  <c r="H73" i="3"/>
  <c r="L71" i="3"/>
  <c r="J71" i="3"/>
  <c r="H71" i="3"/>
  <c r="L70" i="3"/>
  <c r="J70" i="3"/>
  <c r="H70" i="3"/>
  <c r="L69" i="3"/>
  <c r="J69" i="3"/>
  <c r="H69" i="3"/>
  <c r="L68" i="3"/>
  <c r="J68" i="3"/>
  <c r="H68" i="3"/>
  <c r="L67" i="3"/>
  <c r="J67" i="3"/>
  <c r="H67" i="3"/>
  <c r="L66" i="3"/>
  <c r="J66" i="3"/>
  <c r="H66" i="3"/>
  <c r="L65" i="3"/>
  <c r="J65" i="3"/>
  <c r="H65" i="3"/>
  <c r="L64" i="3"/>
  <c r="J64" i="3"/>
  <c r="H64" i="3"/>
  <c r="L63" i="3"/>
  <c r="J63" i="3"/>
  <c r="H63" i="3"/>
  <c r="L62" i="3"/>
  <c r="J62" i="3"/>
  <c r="H62" i="3"/>
  <c r="L61" i="3"/>
  <c r="J61" i="3"/>
  <c r="H61" i="3"/>
  <c r="L60" i="3"/>
  <c r="J60" i="3"/>
  <c r="H60" i="3"/>
  <c r="L59" i="3"/>
  <c r="J59" i="3"/>
  <c r="H59" i="3"/>
  <c r="L58" i="3"/>
  <c r="J58" i="3"/>
  <c r="H58" i="3"/>
  <c r="L57" i="3"/>
  <c r="J57" i="3"/>
  <c r="H57" i="3"/>
  <c r="L56" i="3"/>
  <c r="J56" i="3"/>
  <c r="H56" i="3"/>
  <c r="L55" i="3"/>
  <c r="J55" i="3"/>
  <c r="H55" i="3"/>
  <c r="L54" i="3"/>
  <c r="J54" i="3"/>
  <c r="H54" i="3"/>
  <c r="L53" i="3"/>
  <c r="J53" i="3"/>
  <c r="H53" i="3"/>
  <c r="L52" i="3"/>
  <c r="J52" i="3"/>
  <c r="H52" i="3"/>
  <c r="L51" i="3"/>
  <c r="J51" i="3"/>
  <c r="H51" i="3"/>
  <c r="L50" i="3"/>
  <c r="J50" i="3"/>
  <c r="H50" i="3"/>
  <c r="L49" i="3"/>
  <c r="J49" i="3"/>
  <c r="H49" i="3"/>
  <c r="L48" i="3"/>
  <c r="J48" i="3"/>
  <c r="H48" i="3"/>
  <c r="L47" i="3"/>
  <c r="J47" i="3"/>
  <c r="H47" i="3"/>
  <c r="L46" i="3"/>
  <c r="J46" i="3"/>
  <c r="H46" i="3"/>
  <c r="L45" i="3"/>
  <c r="J45" i="3"/>
  <c r="H45" i="3"/>
  <c r="L44" i="3"/>
  <c r="J44" i="3"/>
  <c r="H44" i="3"/>
  <c r="L42" i="3"/>
  <c r="J42" i="3"/>
  <c r="H42" i="3"/>
  <c r="L41" i="3"/>
  <c r="J41" i="3"/>
  <c r="H41" i="3"/>
  <c r="L40" i="3"/>
  <c r="J40" i="3"/>
  <c r="H40" i="3"/>
  <c r="L39" i="3"/>
  <c r="J39" i="3"/>
  <c r="H39" i="3"/>
  <c r="L38" i="3"/>
  <c r="J38" i="3"/>
  <c r="H38" i="3"/>
  <c r="L37" i="3"/>
  <c r="J37" i="3"/>
  <c r="H37" i="3"/>
  <c r="L36" i="3"/>
  <c r="J36" i="3"/>
  <c r="H36" i="3"/>
  <c r="L35" i="3"/>
  <c r="J35" i="3"/>
  <c r="H35" i="3"/>
  <c r="L34" i="3"/>
  <c r="J34" i="3"/>
  <c r="H34" i="3"/>
  <c r="L33" i="3"/>
  <c r="J33" i="3"/>
  <c r="H33" i="3"/>
  <c r="L32" i="3"/>
  <c r="J32" i="3"/>
  <c r="H32" i="3"/>
  <c r="L31" i="3"/>
  <c r="J31" i="3"/>
  <c r="H31" i="3"/>
  <c r="L30" i="3"/>
  <c r="J30" i="3"/>
  <c r="H30" i="3"/>
  <c r="L29" i="3"/>
  <c r="J29" i="3"/>
  <c r="H29" i="3"/>
  <c r="L28" i="3"/>
  <c r="J28" i="3"/>
  <c r="H28" i="3"/>
  <c r="L27" i="3"/>
  <c r="J27" i="3"/>
  <c r="H27" i="3"/>
  <c r="L26" i="3"/>
  <c r="J26" i="3"/>
  <c r="H26" i="3"/>
  <c r="L25" i="3"/>
  <c r="J25" i="3"/>
  <c r="H25" i="3"/>
  <c r="L24" i="3"/>
  <c r="J24" i="3"/>
  <c r="H24" i="3"/>
  <c r="L23" i="3"/>
  <c r="J23" i="3"/>
  <c r="H23" i="3"/>
  <c r="L22" i="3"/>
  <c r="J22" i="3"/>
  <c r="H22" i="3"/>
  <c r="L21" i="3"/>
  <c r="J21" i="3"/>
  <c r="H21" i="3"/>
  <c r="L20" i="3"/>
  <c r="J20" i="3"/>
  <c r="H20" i="3"/>
  <c r="L18" i="3"/>
  <c r="J18" i="3"/>
  <c r="H18" i="3"/>
  <c r="L17" i="3"/>
  <c r="J17" i="3"/>
  <c r="H17" i="3"/>
  <c r="L16" i="3"/>
  <c r="J16" i="3"/>
  <c r="H16" i="3"/>
  <c r="L15" i="3"/>
  <c r="J15" i="3"/>
  <c r="H15" i="3"/>
  <c r="L14" i="3"/>
  <c r="J14" i="3"/>
  <c r="H14" i="3"/>
  <c r="L13" i="3"/>
  <c r="J13" i="3"/>
  <c r="H13" i="3"/>
  <c r="L12" i="3"/>
  <c r="J12" i="3"/>
  <c r="H12" i="3"/>
  <c r="L11" i="3"/>
  <c r="J11" i="3"/>
  <c r="H11" i="3"/>
  <c r="L10" i="3"/>
  <c r="J10" i="3"/>
  <c r="H10" i="3"/>
  <c r="L9" i="3"/>
  <c r="J9" i="3"/>
  <c r="H9" i="3"/>
  <c r="L8" i="3"/>
  <c r="J8" i="3"/>
  <c r="H8" i="3"/>
  <c r="L7" i="3"/>
  <c r="J7" i="3"/>
  <c r="H7" i="3"/>
  <c r="L6" i="3"/>
  <c r="J6" i="3"/>
  <c r="H6" i="3"/>
  <c r="L5" i="3"/>
  <c r="J5" i="3"/>
  <c r="H5" i="3"/>
  <c r="K98" i="3" l="1"/>
  <c r="K43" i="3"/>
  <c r="K72" i="3"/>
  <c r="K19" i="3"/>
  <c r="K193" i="3"/>
  <c r="K93" i="3"/>
  <c r="K154" i="3"/>
  <c r="K192" i="3"/>
  <c r="K189" i="3"/>
  <c r="K112" i="3"/>
  <c r="K21" i="3"/>
  <c r="K29" i="3"/>
  <c r="K46" i="3"/>
  <c r="K177" i="3"/>
  <c r="K120" i="3"/>
  <c r="K148" i="3"/>
  <c r="K156" i="3"/>
  <c r="K172" i="3"/>
  <c r="K183" i="3"/>
  <c r="K190" i="3"/>
  <c r="K10" i="3"/>
  <c r="K44" i="3"/>
  <c r="K64" i="3"/>
  <c r="K73" i="3"/>
  <c r="K97" i="3"/>
  <c r="K106" i="3"/>
  <c r="K131" i="3"/>
  <c r="K195" i="3"/>
  <c r="K35" i="3"/>
  <c r="K176" i="3"/>
  <c r="K51" i="3"/>
  <c r="K79" i="3"/>
  <c r="K134" i="3"/>
  <c r="K158" i="3"/>
  <c r="K166" i="3"/>
  <c r="K191" i="3"/>
  <c r="K77" i="3"/>
  <c r="K130" i="3"/>
  <c r="K170" i="3"/>
  <c r="K91" i="3"/>
  <c r="K6" i="3"/>
  <c r="K31" i="3"/>
  <c r="K39" i="3"/>
  <c r="K69" i="3"/>
  <c r="K116" i="3"/>
  <c r="K124" i="3"/>
  <c r="K144" i="3"/>
  <c r="K152" i="3"/>
  <c r="K196" i="3"/>
  <c r="K16" i="3"/>
  <c r="K25" i="3"/>
  <c r="K126" i="3"/>
  <c r="K162" i="3"/>
  <c r="K58" i="3"/>
  <c r="K83" i="3"/>
  <c r="K181" i="3"/>
  <c r="K12" i="3"/>
  <c r="K194" i="3"/>
  <c r="K138" i="3"/>
  <c r="K50" i="3"/>
  <c r="K60" i="3"/>
  <c r="K110" i="3"/>
  <c r="K27" i="3"/>
  <c r="K54" i="3"/>
  <c r="K62" i="3"/>
  <c r="K87" i="3"/>
  <c r="K95" i="3"/>
  <c r="K117" i="3"/>
  <c r="K140" i="3"/>
  <c r="K185" i="3"/>
  <c r="L197" i="3"/>
  <c r="K68" i="3"/>
  <c r="K102" i="3"/>
  <c r="K20" i="3"/>
  <c r="K129" i="3"/>
  <c r="K147" i="3"/>
  <c r="K188" i="3"/>
  <c r="K23" i="3"/>
  <c r="K70" i="3"/>
  <c r="K81" i="3"/>
  <c r="K89" i="3"/>
  <c r="K100" i="3"/>
  <c r="K108" i="3"/>
  <c r="K118" i="3"/>
  <c r="K132" i="3"/>
  <c r="K142" i="3"/>
  <c r="K150" i="3"/>
  <c r="K160" i="3"/>
  <c r="K168" i="3"/>
  <c r="K178" i="3"/>
  <c r="K17" i="3"/>
  <c r="K36" i="3"/>
  <c r="K84" i="3"/>
  <c r="K103" i="3"/>
  <c r="K145" i="3"/>
  <c r="K163" i="3"/>
  <c r="K86" i="3"/>
  <c r="K33" i="3"/>
  <c r="K41" i="3"/>
  <c r="K52" i="3"/>
  <c r="H197" i="3"/>
  <c r="G201" i="3" s="1"/>
  <c r="H201" i="3" s="1"/>
  <c r="I201" i="3" s="1"/>
  <c r="K34" i="3"/>
  <c r="K53" i="3"/>
  <c r="K101" i="3"/>
  <c r="K119" i="3"/>
  <c r="K161" i="3"/>
  <c r="K179" i="3"/>
  <c r="K67" i="3"/>
  <c r="K14" i="3"/>
  <c r="K8" i="3"/>
  <c r="K18" i="3"/>
  <c r="K37" i="3"/>
  <c r="K48" i="3"/>
  <c r="K56" i="3"/>
  <c r="K66" i="3"/>
  <c r="K75" i="3"/>
  <c r="K85" i="3"/>
  <c r="K104" i="3"/>
  <c r="K114" i="3"/>
  <c r="K122" i="3"/>
  <c r="K128" i="3"/>
  <c r="K136" i="3"/>
  <c r="K146" i="3"/>
  <c r="K164" i="3"/>
  <c r="K174" i="3"/>
  <c r="K187" i="3"/>
  <c r="K7" i="3"/>
  <c r="K24" i="3"/>
  <c r="K40" i="3"/>
  <c r="K57" i="3"/>
  <c r="K74" i="3"/>
  <c r="K90" i="3"/>
  <c r="K107" i="3"/>
  <c r="K123" i="3"/>
  <c r="K135" i="3"/>
  <c r="K151" i="3"/>
  <c r="K167" i="3"/>
  <c r="J197" i="3"/>
  <c r="K5" i="3"/>
  <c r="K22" i="3"/>
  <c r="K38" i="3"/>
  <c r="K55" i="3"/>
  <c r="K71" i="3"/>
  <c r="K88" i="3"/>
  <c r="K105" i="3"/>
  <c r="K121" i="3"/>
  <c r="K133" i="3"/>
  <c r="K149" i="3"/>
  <c r="K165" i="3"/>
  <c r="K15" i="3"/>
  <c r="K32" i="3"/>
  <c r="K49" i="3"/>
  <c r="K65" i="3"/>
  <c r="K82" i="3"/>
  <c r="K99" i="3"/>
  <c r="K115" i="3"/>
  <c r="K127" i="3"/>
  <c r="K143" i="3"/>
  <c r="K159" i="3"/>
  <c r="K175" i="3"/>
  <c r="K186" i="3"/>
  <c r="K13" i="3"/>
  <c r="K30" i="3"/>
  <c r="K47" i="3"/>
  <c r="K63" i="3"/>
  <c r="K80" i="3"/>
  <c r="K96" i="3"/>
  <c r="K113" i="3"/>
  <c r="K141" i="3"/>
  <c r="K157" i="3"/>
  <c r="K173" i="3"/>
  <c r="K184" i="3"/>
  <c r="K11" i="3"/>
  <c r="K28" i="3"/>
  <c r="K45" i="3"/>
  <c r="K61" i="3"/>
  <c r="K78" i="3"/>
  <c r="K94" i="3"/>
  <c r="K111" i="3"/>
  <c r="K139" i="3"/>
  <c r="K155" i="3"/>
  <c r="K171" i="3"/>
  <c r="K182" i="3"/>
  <c r="K9" i="3"/>
  <c r="K26" i="3"/>
  <c r="K42" i="3"/>
  <c r="K59" i="3"/>
  <c r="K76" i="3"/>
  <c r="K92" i="3"/>
  <c r="K109" i="3"/>
  <c r="K125" i="3"/>
  <c r="K137" i="3"/>
  <c r="K153" i="3"/>
  <c r="K169" i="3"/>
  <c r="K180" i="3"/>
  <c r="G207" i="3" l="1"/>
  <c r="H207" i="3" s="1"/>
  <c r="I207" i="3" s="1"/>
  <c r="K197" i="3"/>
  <c r="G203" i="3"/>
  <c r="H203" i="3" s="1"/>
  <c r="I203" i="3" s="1"/>
  <c r="I204" i="3" s="1"/>
  <c r="G208" i="3"/>
  <c r="H208" i="3" s="1"/>
  <c r="I208" i="3" s="1"/>
  <c r="I209" i="3" l="1"/>
</calcChain>
</file>

<file path=xl/sharedStrings.xml><?xml version="1.0" encoding="utf-8"?>
<sst xmlns="http://schemas.openxmlformats.org/spreadsheetml/2006/main" count="408" uniqueCount="235">
  <si>
    <t>COOKING CLASS</t>
  </si>
  <si>
    <t>QTY</t>
  </si>
  <si>
    <t>DEPACHIKA</t>
  </si>
  <si>
    <t>ONLINE</t>
  </si>
  <si>
    <t>TOTAL</t>
  </si>
  <si>
    <t>ATTENDED</t>
  </si>
  <si>
    <t>COMMENT</t>
  </si>
  <si>
    <t xml:space="preserve">POS ITEMS </t>
  </si>
  <si>
    <t>REFUND AMOUNT</t>
  </si>
  <si>
    <t xml:space="preserve">TOTAL SALES </t>
  </si>
  <si>
    <t>TOR AMOUNT</t>
  </si>
  <si>
    <r>
      <t>sr</t>
    </r>
    <r>
      <rPr>
        <sz val="11"/>
        <color theme="0"/>
        <rFont val="Nakheel Text"/>
      </rPr>
      <t>SR #</t>
    </r>
  </si>
  <si>
    <t>NAME</t>
  </si>
  <si>
    <t>WALK IN</t>
  </si>
  <si>
    <t>VOUCHER</t>
  </si>
  <si>
    <t>MATT</t>
  </si>
  <si>
    <t>AMOUNT</t>
  </si>
  <si>
    <t>RENTAL</t>
  </si>
  <si>
    <t>POSTED DATE</t>
  </si>
  <si>
    <t>CLASS DATE</t>
  </si>
  <si>
    <t>CATERING</t>
  </si>
  <si>
    <t>GRETA</t>
  </si>
  <si>
    <t>DECEMBER  COOKING  CLASSES 2025</t>
  </si>
  <si>
    <t>DALIA</t>
  </si>
  <si>
    <t>PRIVATE</t>
  </si>
  <si>
    <t>IMAN</t>
  </si>
  <si>
    <t>CORALIE</t>
  </si>
  <si>
    <t>OPEN CLASS</t>
  </si>
  <si>
    <t>LIDIJA</t>
  </si>
  <si>
    <t>COOKIE CLASS</t>
  </si>
  <si>
    <t>NEVIN</t>
  </si>
  <si>
    <t>LAUREN</t>
  </si>
  <si>
    <t>FATIMA</t>
  </si>
  <si>
    <t>BIRTHDAY</t>
  </si>
  <si>
    <t>RAMA</t>
  </si>
  <si>
    <t>ADD ONS ( BALLOONS )</t>
  </si>
  <si>
    <t>CHARLOTTE</t>
  </si>
  <si>
    <t>MARY SMITH</t>
  </si>
  <si>
    <t>SUZANNE</t>
  </si>
  <si>
    <t>DEAN</t>
  </si>
  <si>
    <t>DANIELLE</t>
  </si>
  <si>
    <t>PRIVATE CLASS</t>
  </si>
  <si>
    <t>DONNA</t>
  </si>
  <si>
    <t>MINH</t>
  </si>
  <si>
    <t>NOOR</t>
  </si>
  <si>
    <t>ASMA</t>
  </si>
  <si>
    <t>MARIANNA</t>
  </si>
  <si>
    <t>NATALIE</t>
  </si>
  <si>
    <t>TANVI</t>
  </si>
  <si>
    <t>NAZ</t>
  </si>
  <si>
    <t>MAYASSA</t>
  </si>
  <si>
    <t>KIDS CAMP</t>
  </si>
  <si>
    <t>NIDA ALI</t>
  </si>
  <si>
    <t>JUDY</t>
  </si>
  <si>
    <t>ALI</t>
  </si>
  <si>
    <t>FAWZEYA</t>
  </si>
  <si>
    <t>DANA</t>
  </si>
  <si>
    <t>LOBNA</t>
  </si>
  <si>
    <t>MICHAL</t>
  </si>
  <si>
    <t>YULE LOG</t>
  </si>
  <si>
    <t>JOY</t>
  </si>
  <si>
    <t>LINDA</t>
  </si>
  <si>
    <t>NADINE</t>
  </si>
  <si>
    <t>CARLA</t>
  </si>
  <si>
    <t>ALESSA</t>
  </si>
  <si>
    <t>REEMA</t>
  </si>
  <si>
    <t>WADHA ALI</t>
  </si>
  <si>
    <t>RUBY</t>
  </si>
  <si>
    <t>VICTORIA</t>
  </si>
  <si>
    <t>ANISA</t>
  </si>
  <si>
    <t>JADE</t>
  </si>
  <si>
    <t>ELLEN</t>
  </si>
  <si>
    <t>EMAN</t>
  </si>
  <si>
    <t>REENE</t>
  </si>
  <si>
    <t>RAJA</t>
  </si>
  <si>
    <t>SARA</t>
  </si>
  <si>
    <t>ORTAL</t>
  </si>
  <si>
    <t>DECEMBER TO REMEMBER</t>
  </si>
  <si>
    <t>KATSIYARNA</t>
  </si>
  <si>
    <t>LINA</t>
  </si>
  <si>
    <t>AMINA</t>
  </si>
  <si>
    <t>TINY TRATORIA</t>
  </si>
  <si>
    <t>FARAH</t>
  </si>
  <si>
    <t>SAMEERA</t>
  </si>
  <si>
    <t>TAMARA</t>
  </si>
  <si>
    <t>SOPHIE</t>
  </si>
  <si>
    <t>OLGA</t>
  </si>
  <si>
    <t>OZAN</t>
  </si>
  <si>
    <t>NANNY CLASS</t>
  </si>
  <si>
    <t>PETYA</t>
  </si>
  <si>
    <t>AANAM</t>
  </si>
  <si>
    <t>ZAHRA</t>
  </si>
  <si>
    <t>JANICE</t>
  </si>
  <si>
    <t>RENATA</t>
  </si>
  <si>
    <t>GOMEZ</t>
  </si>
  <si>
    <t>NATALIA</t>
  </si>
  <si>
    <t>MANAR</t>
  </si>
  <si>
    <t>ANEELA</t>
  </si>
  <si>
    <t>BUCRU/LEMAN</t>
  </si>
  <si>
    <t>ITALIAN DINING</t>
  </si>
  <si>
    <t>STRAVOS</t>
  </si>
  <si>
    <t>MARUSHKA</t>
  </si>
  <si>
    <t>GREETA</t>
  </si>
  <si>
    <t>DAVID FATAL</t>
  </si>
  <si>
    <t>RJOUKADAR</t>
  </si>
  <si>
    <t>ANNA</t>
  </si>
  <si>
    <t>MALIKA</t>
  </si>
  <si>
    <t>RANIA</t>
  </si>
  <si>
    <t>ABDELMAJEED</t>
  </si>
  <si>
    <t>NOURA</t>
  </si>
  <si>
    <t>NESIBE</t>
  </si>
  <si>
    <t>FESTIVE BRUNCH</t>
  </si>
  <si>
    <t>ZAINA</t>
  </si>
  <si>
    <t>SUNSHINE</t>
  </si>
  <si>
    <t>LAMIS</t>
  </si>
  <si>
    <t>COOKIE LAB</t>
  </si>
  <si>
    <t>ALEXANDRA</t>
  </si>
  <si>
    <t>ANAIS</t>
  </si>
  <si>
    <t>BAHA</t>
  </si>
  <si>
    <t>AISEL</t>
  </si>
  <si>
    <t>COZY CHRISTMAS BRUNCH</t>
  </si>
  <si>
    <t>RADHA</t>
  </si>
  <si>
    <t>ZELLY</t>
  </si>
  <si>
    <t>AGNES</t>
  </si>
  <si>
    <t>MANLIO</t>
  </si>
  <si>
    <t>AMR GAAFAR</t>
  </si>
  <si>
    <t>MAHNAZ</t>
  </si>
  <si>
    <t>NICOLE</t>
  </si>
  <si>
    <t>RAGINI</t>
  </si>
  <si>
    <t>MEHRNOOSH</t>
  </si>
  <si>
    <t>JENNEFER</t>
  </si>
  <si>
    <t>SUE YHANG</t>
  </si>
  <si>
    <t>Row Labels</t>
  </si>
  <si>
    <t>Sum of Net Amount</t>
  </si>
  <si>
    <t>Sum of VAT Amount</t>
  </si>
  <si>
    <t>Fresh beef bone broth (gluten -free)</t>
  </si>
  <si>
    <t>Fresh chicken bone broth (gluten free)</t>
  </si>
  <si>
    <t>Fresh vegan shiitake infused broth (gluten-free)</t>
  </si>
  <si>
    <t>Meat Sammbousek</t>
  </si>
  <si>
    <t>Mini Meat Kibbe</t>
  </si>
  <si>
    <t>Shrimp Gyoza</t>
  </si>
  <si>
    <t>The little munchkins CHICKEN BROTH (for children) gluten free</t>
  </si>
  <si>
    <t>Vine Leaves with Cranberries Meat 8g</t>
  </si>
  <si>
    <t>Grand Total</t>
  </si>
  <si>
    <t>OVERTIME FOR 3 HOURS</t>
  </si>
  <si>
    <t>ADD ONS ( CLEANING FEE )</t>
  </si>
  <si>
    <t>GROUP CLASS ( COOKIE AND PASTA)</t>
  </si>
  <si>
    <t>MOMMY AND ME BRUNCH BUDDIES</t>
  </si>
  <si>
    <t>ROSHAN IS WITH THEM USED VOUCHER, PURCHASE ON NOV. 29 # 56 FILE</t>
  </si>
  <si>
    <t>AASHIF</t>
  </si>
  <si>
    <t>LA LA LUNCH</t>
  </si>
  <si>
    <t>PEARL</t>
  </si>
  <si>
    <t>GRETA IS WITH THEM, PAID ON NOVEMBER, PLEASE REFGER #61 FILE</t>
  </si>
  <si>
    <t>ADD ONS (CUSTOM CAKE )</t>
  </si>
  <si>
    <t>TOTAL 28 ATTENDEES, 15 PAID ADVANCE REFER #12</t>
  </si>
  <si>
    <t>ADD ONS ( GOODIE BAG )</t>
  </si>
  <si>
    <t>ADD ONS CANDLE</t>
  </si>
  <si>
    <t>TOTAL ATTENDEES 27, 15 PAID ADVANCE REFER # 11</t>
  </si>
  <si>
    <t>RANA EL MASRI</t>
  </si>
  <si>
    <t>GINGERBREAD PARTY HOUSE</t>
  </si>
  <si>
    <t>REEM FARAH</t>
  </si>
  <si>
    <t>SWEET SNOWSTORM</t>
  </si>
  <si>
    <t>OLAMADKHOUR</t>
  </si>
  <si>
    <t>CORPORATE CLASS</t>
  </si>
  <si>
    <t>SETTLED LATE, WAITING FOR PROOF OF PAYMENT</t>
  </si>
  <si>
    <t>ZAKARIA</t>
  </si>
  <si>
    <t>ASIAN DINNER PARTY</t>
  </si>
  <si>
    <t>LIDIJA PAID VOUCHER AMOUNT 950</t>
  </si>
  <si>
    <t>ADD ONS (HOMEMADE ICE CREA)</t>
  </si>
  <si>
    <t>BREAD BAKING MASTERCLASS</t>
  </si>
  <si>
    <t>CAMILLE  ( 1/4 )</t>
  </si>
  <si>
    <t>COZY DINNER</t>
  </si>
  <si>
    <t>MINI CHEF SLEIGH RIDE</t>
  </si>
  <si>
    <t>ASMA/MUHAMMAD</t>
  </si>
  <si>
    <t>CAMILLE  ( 2/4 )</t>
  </si>
  <si>
    <t>MAMALU VOUCHER</t>
  </si>
  <si>
    <t>OPEN VOUCHER</t>
  </si>
  <si>
    <t>WALK IN MAMMA MIA</t>
  </si>
  <si>
    <t>PURSUIT CLASS</t>
  </si>
  <si>
    <t>CAMILLE ( 3/4 )</t>
  </si>
  <si>
    <t xml:space="preserve">DANIELLA  </t>
  </si>
  <si>
    <t>NEWSLETTER DECEMEBR 27</t>
  </si>
  <si>
    <t>VICTORIA ERE MEEVA</t>
  </si>
  <si>
    <t>GRIFFITH/ (C/O VICTORIA)</t>
  </si>
  <si>
    <t>BY MISTAKE DOUBLE SETTLED OF VICTORIA 275AED, THIS AMOUNT IS ALREADY SETTLED TRANSACTION # 199935, SO NOW WE USED 275 AED UNDER GRIFITH, REFER TO FILE # 76</t>
  </si>
  <si>
    <t>BY MISTAKE DOUBLE SETTLED OF VICTORIA 275AED, THIS AMOUNT IS ALREADY SETTLED TRANSACTION # 199935, SO NOW WE USED 275 AED UNDER GRIFITH, REFER TO FILE # 55</t>
  </si>
  <si>
    <t>PURSUIT CANAPE OPTION</t>
  </si>
  <si>
    <t>MIN CHU</t>
  </si>
  <si>
    <t>MAMMA MIA</t>
  </si>
  <si>
    <t>LABUBU CUPCAKE</t>
  </si>
  <si>
    <t>BABANI</t>
  </si>
  <si>
    <t>DEEPAK</t>
  </si>
  <si>
    <t>CHAINTANYA</t>
  </si>
  <si>
    <t>CAMP DECEMBER 8-12</t>
  </si>
  <si>
    <t>DEC 8-12</t>
  </si>
  <si>
    <t>CAMP</t>
  </si>
  <si>
    <t>CAMP DECEMBER 8-12/  10% OFF EARLY BIRD</t>
  </si>
  <si>
    <t>DEC 15-19</t>
  </si>
  <si>
    <t>SAMIRA</t>
  </si>
  <si>
    <t>LENA/VIVI</t>
  </si>
  <si>
    <t>CAMP DECEMBER 15-19/  10% OFF EARLY BIRD</t>
  </si>
  <si>
    <t>JOUMANA</t>
  </si>
  <si>
    <t>TALEEN</t>
  </si>
  <si>
    <t>TOTAL 2 ATTENDEES BUT 1 ATTENDEE PAYMENT TO BE FOLLOW</t>
  </si>
  <si>
    <t>PENDING PAYMENT, REFER TO #30</t>
  </si>
  <si>
    <t>OLCAY</t>
  </si>
  <si>
    <t>AADHYAA</t>
  </si>
  <si>
    <t>THERE IS LESS DISCREPANCY ON THE PROOF OF PAYMENT (50AED) ISSUE IS FROM MAMALU ,THEY NEED TO PROVIDE US 50AED MORE.</t>
  </si>
  <si>
    <t>MAYAAYA</t>
  </si>
  <si>
    <t>20% FAMILY FRIEND</t>
  </si>
  <si>
    <t>LYNN</t>
  </si>
  <si>
    <t>UPCOMING CLASSES PAID IN DECEMBER</t>
  </si>
  <si>
    <t>LEN</t>
  </si>
  <si>
    <t>50% DOWNPAYMEN,COOKING CLASS</t>
  </si>
  <si>
    <t>ADD ONS  MINI PIZZA</t>
  </si>
  <si>
    <t>ADD ONS MUSAKHAN ROLLS</t>
  </si>
  <si>
    <t>ADD ONS MINI BURGERS</t>
  </si>
  <si>
    <t>ADD ONS CHICKEN TENDERS</t>
  </si>
  <si>
    <t>TABLE SETTING</t>
  </si>
  <si>
    <t>50% DOWNPAYMENT, BDAY</t>
  </si>
  <si>
    <t>DEALAA</t>
  </si>
  <si>
    <t>ADD ONS GOODIE BAG</t>
  </si>
  <si>
    <t>CAKE</t>
  </si>
  <si>
    <t>CAMILLE  4/4</t>
  </si>
  <si>
    <t>PAID LATE BUT CLASS STARTED AT DEC 16, EQUIVALENT TO 4 DAY CLASS, TOTAL AMOUNT PAID 1700AED</t>
  </si>
  <si>
    <t>4 DAY CLASS, TOTAL AMOUNT PAID 1700AED</t>
  </si>
  <si>
    <t>OPEN VOUCHER. NO CLASS SCHEDULE YET, UNUSED VOUCHER</t>
  </si>
  <si>
    <t>NOTE</t>
  </si>
  <si>
    <t>SARIA</t>
  </si>
  <si>
    <t>PAID NOV 11, TOTAL OF 3 DAYS CLASS, BUT ACCORDING TO NOVEMBER REPORT, 3 CLASS DONE ( NOV 11,19,25 )</t>
  </si>
  <si>
    <t>RAMI ( 2 @ 275 )</t>
  </si>
  <si>
    <t>VOUCHER PURCHASED BY NADIM ON SEPT 20 TOTAL 600AED, NOW REDEEMED BY RAMI AMOUNT 550AED, CUSTOMER INFORM THAT NO REFUND FOR THE DIFFERENCE</t>
  </si>
  <si>
    <t>Sum of Quantity</t>
  </si>
  <si>
    <t>Mini Cheese Rolls</t>
  </si>
  <si>
    <t>CAMP DECEMBER 15-19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</si>
</sst>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 &quot;[$AED-809]&quot; &quot;* #,##0.00&quot; &quot;;&quot; &quot;[$AED-809]&quot; &quot;* &quot;(&quot;#,##0.00&quot;)&quot;;&quot; &quot;[$AED-809]&quot; &quot;* &quot;-&quot;#&quot; &quot;;&quot; &quot;@&quot; &quot;"/>
    <numFmt numFmtId="165" formatCode="#,##0;&quot;-&quot;#,##0"/>
    <numFmt numFmtId="166" formatCode="_-[$AED]* #,##0.00_-;\-[$AED]* #,##0.00_-;_-[$AED]* &quot;-&quot;??_-;_-@_-"/>
    <numFmt numFmtId="167" formatCode="&quot; &quot;[$AED-809]&quot; &quot;* #,##0.00&quot; &quot;;&quot;-&quot;[$AED-809]&quot; &quot;* #,##0.00&quot; &quot;;&quot; &quot;[$AED-809]&quot; &quot;* &quot;-&quot;#&quot; &quot;;&quot; &quot;@&quot; &quot;"/>
    <numFmt numFmtId="168" formatCode="_-[$AED-4C09]* #,##0.00_-;\-[$AED-4C09]* #,##0.00_-;_-[$AED-4C09]* &quot;-&quot;??_-;_-@_-"/>
    <numFmt numFmtId="169" formatCode="#,##0.#####"/>
    <numFmt numFmtId="170" formatCode="hh:mm:ss.000"/>
  </numFmts>
  <fonts count="20">
    <font>
      <sz val="11"/>
      <color theme="1"/>
      <name val="Nakheel Text"/>
      <family val="2"/>
    </font>
    <font>
      <b/>
      <sz val="11"/>
      <color theme="1"/>
      <name val="Nakheel Text"/>
      <family val="2"/>
    </font>
    <font>
      <b/>
      <sz val="14"/>
      <color rgb="FFFFFFFF"/>
      <name val="Duba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Dubai"/>
      <family val="2"/>
    </font>
    <font>
      <b/>
      <sz val="11"/>
      <color rgb="FF000000"/>
      <name val="Dubai"/>
      <family val="2"/>
    </font>
    <font>
      <b/>
      <u/>
      <sz val="11"/>
      <color rgb="FF000000"/>
      <name val="Dubai"/>
      <family val="2"/>
    </font>
    <font>
      <b/>
      <sz val="11"/>
      <color rgb="FFFF0000"/>
      <name val="Dubai"/>
      <family val="2"/>
    </font>
    <font>
      <b/>
      <u/>
      <sz val="11"/>
      <color rgb="FFFF0000"/>
      <name val="Dubai"/>
      <family val="2"/>
    </font>
    <font>
      <sz val="11"/>
      <color theme="0"/>
      <name val="Nakheel Text"/>
    </font>
    <font>
      <sz val="8"/>
      <name val="Nakheel Text"/>
      <family val="2"/>
    </font>
    <font>
      <b/>
      <sz val="12"/>
      <color rgb="FFFFFFFF"/>
      <name val="Dubai"/>
      <family val="2"/>
    </font>
    <font>
      <b/>
      <sz val="11"/>
      <color theme="1"/>
      <name val="Nakheel Text"/>
    </font>
    <font>
      <b/>
      <sz val="11"/>
      <name val="Dubai"/>
      <family val="2"/>
    </font>
    <font>
      <sz val="11"/>
      <name val="Nakheel Text"/>
      <family val="2"/>
    </font>
    <font>
      <sz val="11"/>
      <color theme="1"/>
      <name val="Dubai"/>
      <family val="2"/>
    </font>
    <font>
      <sz val="10"/>
      <color theme="1"/>
      <name val="Nakheel Text"/>
    </font>
    <font>
      <b/>
      <sz val="10"/>
      <color rgb="FFFF0000"/>
      <name val="Nakheel Text"/>
    </font>
    <font>
      <b/>
      <sz val="10"/>
      <color theme="1"/>
      <name val="Nakheel Text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3" tint="0.79998168889431442"/>
        <bgColor rgb="FFD6DCE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" fontId="0" fillId="5" borderId="14" xfId="0" applyNumberFormat="1" applyFill="1" applyBorder="1" applyAlignment="1">
      <alignment horizontal="center" vertical="center"/>
    </xf>
    <xf numFmtId="164" fontId="1" fillId="5" borderId="15" xfId="0" applyNumberFormat="1" applyFont="1" applyFill="1" applyBorder="1" applyAlignment="1">
      <alignment horizontal="center" vertical="center"/>
    </xf>
    <xf numFmtId="4" fontId="8" fillId="4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9" fillId="7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9" borderId="0" xfId="0" applyFill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5" borderId="14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2" borderId="2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3" borderId="18" xfId="0" applyFont="1" applyFill="1" applyBorder="1" applyAlignment="1">
      <alignment horizontal="left" vertical="top"/>
    </xf>
    <xf numFmtId="16" fontId="5" fillId="3" borderId="18" xfId="0" applyNumberFormat="1" applyFont="1" applyFill="1" applyBorder="1" applyAlignment="1">
      <alignment horizontal="center" vertical="center"/>
    </xf>
    <xf numFmtId="16" fontId="5" fillId="3" borderId="18" xfId="0" applyNumberFormat="1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" fontId="0" fillId="0" borderId="0" xfId="0" applyNumberFormat="1"/>
    <xf numFmtId="4" fontId="0" fillId="12" borderId="0" xfId="0" applyNumberFormat="1" applyFill="1"/>
    <xf numFmtId="16" fontId="5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/>
    </xf>
    <xf numFmtId="16" fontId="5" fillId="3" borderId="1" xfId="0" applyNumberFormat="1" applyFont="1" applyFill="1" applyBorder="1" applyAlignment="1">
      <alignment vertical="center"/>
    </xf>
    <xf numFmtId="16" fontId="5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16" fontId="5" fillId="3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16" fontId="8" fillId="6" borderId="1" xfId="0" applyNumberFormat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17" fillId="0" borderId="1" xfId="0" pivotButton="1" applyFont="1" applyBorder="1"/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4" fontId="17" fillId="0" borderId="1" xfId="0" applyNumberFormat="1" applyFont="1" applyBorder="1"/>
    <xf numFmtId="0" fontId="8" fillId="6" borderId="18" xfId="0" applyFont="1" applyFill="1" applyBorder="1" applyAlignment="1">
      <alignment horizontal="center" vertical="center" wrapText="1"/>
    </xf>
    <xf numFmtId="16" fontId="5" fillId="3" borderId="18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6" fontId="5" fillId="3" borderId="1" xfId="0" applyNumberFormat="1" applyFont="1" applyFill="1" applyBorder="1" applyAlignment="1">
      <alignment horizontal="center"/>
    </xf>
    <xf numFmtId="16" fontId="5" fillId="3" borderId="1" xfId="0" applyNumberFormat="1" applyFont="1" applyFill="1" applyBorder="1" applyAlignment="1">
      <alignment horizontal="center" wrapText="1"/>
    </xf>
    <xf numFmtId="16" fontId="8" fillId="3" borderId="1" xfId="0" applyNumberFormat="1" applyFont="1" applyFill="1" applyBorder="1" applyAlignment="1">
      <alignment horizontal="center"/>
    </xf>
    <xf numFmtId="16" fontId="16" fillId="3" borderId="1" xfId="0" applyNumberFormat="1" applyFont="1" applyFill="1" applyBorder="1" applyAlignment="1">
      <alignment horizontal="center"/>
    </xf>
    <xf numFmtId="16" fontId="8" fillId="3" borderId="1" xfId="0" applyNumberFormat="1" applyFont="1" applyFill="1" applyBorder="1" applyAlignment="1">
      <alignment horizontal="left" vertical="center"/>
    </xf>
    <xf numFmtId="0" fontId="2" fillId="2" borderId="19" xfId="0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16" fontId="8" fillId="3" borderId="1" xfId="0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center"/>
    </xf>
    <xf numFmtId="169" fontId="17" fillId="0" borderId="1" xfId="0" applyNumberFormat="1" applyFont="1" applyBorder="1"/>
    <xf numFmtId="4" fontId="19" fillId="0" borderId="1" xfId="0" applyNumberFormat="1" applyFont="1" applyBorder="1" applyAlignment="1">
      <alignment horizontal="center"/>
    </xf>
    <xf numFmtId="4" fontId="18" fillId="13" borderId="1" xfId="0" applyNumberFormat="1" applyFont="1" applyFill="1" applyBorder="1" applyAlignment="1">
      <alignment horizontal="center"/>
    </xf>
    <xf numFmtId="16" fontId="5" fillId="3" borderId="22" xfId="0" applyNumberFormat="1" applyFont="1" applyFill="1" applyBorder="1" applyAlignment="1">
      <alignment horizontal="left" vertical="center"/>
    </xf>
    <xf numFmtId="16" fontId="5" fillId="3" borderId="23" xfId="0" applyNumberFormat="1" applyFont="1" applyFill="1" applyBorder="1" applyAlignment="1">
      <alignment horizontal="left" vertical="center"/>
    </xf>
    <xf numFmtId="16" fontId="5" fillId="3" borderId="18" xfId="0" applyNumberFormat="1" applyFont="1" applyFill="1" applyBorder="1" applyAlignment="1">
      <alignment horizontal="left" vertical="center"/>
    </xf>
    <xf numFmtId="16" fontId="5" fillId="3" borderId="22" xfId="0" applyNumberFormat="1" applyFont="1" applyFill="1" applyBorder="1" applyAlignment="1">
      <alignment horizontal="center" vertical="center"/>
    </xf>
    <xf numFmtId="16" fontId="5" fillId="3" borderId="23" xfId="0" applyNumberFormat="1" applyFont="1" applyFill="1" applyBorder="1" applyAlignment="1">
      <alignment horizontal="center" vertical="center"/>
    </xf>
    <xf numFmtId="16" fontId="5" fillId="3" borderId="18" xfId="0" applyNumberFormat="1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16" fontId="5" fillId="3" borderId="22" xfId="0" applyNumberFormat="1" applyFont="1" applyFill="1" applyBorder="1" applyAlignment="1">
      <alignment horizontal="left" vertical="center" readingOrder="1"/>
    </xf>
    <xf numFmtId="16" fontId="5" fillId="3" borderId="23" xfId="0" applyNumberFormat="1" applyFont="1" applyFill="1" applyBorder="1" applyAlignment="1">
      <alignment horizontal="left" vertical="center" readingOrder="1"/>
    </xf>
    <xf numFmtId="16" fontId="5" fillId="3" borderId="18" xfId="0" applyNumberFormat="1" applyFont="1" applyFill="1" applyBorder="1" applyAlignment="1">
      <alignment horizontal="left" vertical="center" readingOrder="1"/>
    </xf>
    <xf numFmtId="0" fontId="6" fillId="4" borderId="16" xfId="0" applyFont="1" applyFill="1" applyBorder="1" applyAlignment="1">
      <alignment horizontal="center" vertical="center"/>
    </xf>
    <xf numFmtId="16" fontId="5" fillId="3" borderId="22" xfId="0" applyNumberFormat="1" applyFont="1" applyFill="1" applyBorder="1" applyAlignment="1">
      <alignment horizontal="center"/>
    </xf>
    <xf numFmtId="16" fontId="5" fillId="3" borderId="18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horizontal="left" vertical="center" wrapText="1"/>
    </xf>
    <xf numFmtId="16" fontId="5" fillId="3" borderId="22" xfId="0" applyNumberFormat="1" applyFont="1" applyFill="1" applyBorder="1" applyAlignment="1">
      <alignment horizontal="center" vertical="center" wrapText="1"/>
    </xf>
    <xf numFmtId="16" fontId="5" fillId="3" borderId="18" xfId="0" applyNumberFormat="1" applyFont="1" applyFill="1" applyBorder="1" applyAlignment="1">
      <alignment horizontal="center" vertical="center" wrapText="1"/>
    </xf>
    <xf numFmtId="16" fontId="5" fillId="3" borderId="23" xfId="0" applyNumberFormat="1" applyFont="1" applyFill="1" applyBorder="1" applyAlignment="1">
      <alignment horizontal="center" vertical="center" wrapText="1"/>
    </xf>
    <xf numFmtId="16" fontId="8" fillId="11" borderId="19" xfId="0" applyNumberFormat="1" applyFont="1" applyFill="1" applyBorder="1" applyAlignment="1">
      <alignment horizontal="center" vertical="center"/>
    </xf>
    <xf numFmtId="16" fontId="8" fillId="11" borderId="21" xfId="0" applyNumberFormat="1" applyFont="1" applyFill="1" applyBorder="1" applyAlignment="1">
      <alignment horizontal="center" vertical="center"/>
    </xf>
    <xf numFmtId="16" fontId="8" fillId="11" borderId="19" xfId="0" applyNumberFormat="1" applyFont="1" applyFill="1" applyBorder="1" applyAlignment="1">
      <alignment horizontal="center"/>
    </xf>
    <xf numFmtId="16" fontId="8" fillId="11" borderId="20" xfId="0" applyNumberFormat="1" applyFont="1" applyFill="1" applyBorder="1" applyAlignment="1">
      <alignment horizontal="center"/>
    </xf>
    <xf numFmtId="16" fontId="8" fillId="11" borderId="21" xfId="0" applyNumberFormat="1" applyFont="1" applyFill="1" applyBorder="1" applyAlignment="1">
      <alignment horizontal="center"/>
    </xf>
    <xf numFmtId="16" fontId="8" fillId="11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yl.Hermosa.DUBAI-HOLDING\Downloads\Transaction%20Sales%20Entries%20NPALFA01_LYNN.ELJESR%202026-01-01T14_52_4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yl Hermosa" refreshedDate="46023.785054513886" createdVersion="8" refreshedVersion="8" minRefreshableVersion="3" recordCount="194" xr:uid="{8D2A3502-9464-4CE6-87E5-6968181FABCF}">
  <cacheSource type="worksheet">
    <worksheetSource name="Table1" r:id="rId2"/>
  </cacheSource>
  <cacheFields count="31">
    <cacheField name="Transaction No." numFmtId="1">
      <sharedItems containsSemiMixedTypes="0" containsString="0" containsNumber="1" containsInteger="1" minValue="187556" maxValue="201276"/>
    </cacheField>
    <cacheField name="Transaction Code" numFmtId="49">
      <sharedItems/>
    </cacheField>
    <cacheField name="Receipt No." numFmtId="49">
      <sharedItems/>
    </cacheField>
    <cacheField name="Barcode No." numFmtId="49">
      <sharedItems/>
    </cacheField>
    <cacheField name="Item No." numFmtId="49">
      <sharedItems/>
    </cacheField>
    <cacheField name="Item Description" numFmtId="49">
      <sharedItems count="47">
        <s v="Fresh beef bone broth (gluten -free)"/>
        <s v="Special Cooking class prices"/>
        <s v="Kids Private Class 250 AED"/>
        <s v="Private Class - 275aed"/>
        <s v="Private Rentals"/>
        <s v="Add On's"/>
        <s v="Mini Chef Ginger Bread House Party"/>
        <s v="private class kids 300AED"/>
        <s v="private class kids 225 AED"/>
        <s v="Mini Chef Sweet Snow Storm"/>
        <s v="Private kids"/>
        <s v="kids camp-minichef 101"/>
        <s v="mini chef cooking camp 101"/>
        <s v="PRIVATE CLASS ADULTS 350"/>
        <s v="Meat Sammbousek"/>
        <s v="Mini Chef Festive Brunch"/>
        <s v="Mini Chef December To Remember"/>
        <s v="Fresh vegan shiitake infused broth (gluten-free)"/>
        <s v="Mini Meat Kibbe"/>
        <s v="Mini Chef Ginger Bread Village Party"/>
        <s v="Mini Chef Sliegh Ride Snacks"/>
        <s v="Mini Chef Cookie Lab"/>
        <s v="Kids cooking camp"/>
        <s v="Mamalu Pursuit"/>
        <s v="Goodie bags- Mamalu "/>
        <s v="Cake- Mamalu "/>
        <s v="Table Setting- Mamalu "/>
        <s v="Mini Pizza - Additional Food"/>
        <s v="Musakhan Rolls - Additional Food"/>
        <s v="Mini Burgers - Additional Food"/>
        <s v="Chicken Tenders - Additional Food"/>
        <s v="Mini Cheese Rolls"/>
        <s v="Mini Chef La la Lunch "/>
        <s v="Balloons - Mamalu"/>
        <s v="Private Class adults"/>
        <s v="Fresh chicken bone broth (gluten free)"/>
        <s v="Shrimp Gyoza"/>
        <s v="The little munchkins CHICKEN BROTH (for children) gluten free"/>
        <s v="Bread Baking Masterclass"/>
        <s v="Vine Leaves with Cranberries Meat 8g"/>
        <s v="Cosy Dinners"/>
        <s v="Asian Dinner Party "/>
        <s v="Mamalu Mini"/>
        <s v="Italian Boxing Day"/>
        <s v="Kids birthday parties"/>
        <s v="Mamalu Voucher"/>
        <s v="Mini Chef Cosy Christmas Brunch"/>
      </sharedItems>
    </cacheField>
    <cacheField name="Vendor No." numFmtId="49">
      <sharedItems/>
    </cacheField>
    <cacheField name="Vendor Name" numFmtId="49">
      <sharedItems/>
    </cacheField>
    <cacheField name="Vendor TRN No." numFmtId="49">
      <sharedItems/>
    </cacheField>
    <cacheField name="Date" numFmtId="14">
      <sharedItems containsSemiMixedTypes="0" containsNonDate="0" containsDate="1" containsString="0" minDate="2025-12-01T00:00:00" maxDate="2026-01-01T00:00:00"/>
    </cacheField>
    <cacheField name="Quantity" numFmtId="169">
      <sharedItems containsSemiMixedTypes="0" containsString="0" containsNumber="1" containsInteger="1" minValue="-27" maxValue="-1"/>
    </cacheField>
    <cacheField name="Price" numFmtId="4">
      <sharedItems containsSemiMixedTypes="0" containsString="0" containsNumber="1" minValue="15" maxValue="4200"/>
    </cacheField>
    <cacheField name="Net Amount" numFmtId="4">
      <sharedItems containsSemiMixedTypes="0" containsString="0" containsNumber="1" minValue="-7666.67" maxValue="-14.29"/>
    </cacheField>
    <cacheField name="Discount Amount" numFmtId="4">
      <sharedItems containsSemiMixedTypes="0" containsString="0" containsNumber="1" containsInteger="1" minValue="0" maxValue="100"/>
    </cacheField>
    <cacheField name="VAT Amount" numFmtId="4">
      <sharedItems containsSemiMixedTypes="0" containsString="0" containsNumber="1" minValue="-383.33" maxValue="-0.71"/>
    </cacheField>
    <cacheField name="POS Terminal No." numFmtId="49">
      <sharedItems/>
    </cacheField>
    <cacheField name="Staff ID" numFmtId="49">
      <sharedItems/>
    </cacheField>
    <cacheField name="Section" numFmtId="49">
      <sharedItems/>
    </cacheField>
    <cacheField name="Time" numFmtId="170">
      <sharedItems containsSemiMixedTypes="0" containsNonDate="0" containsDate="1" containsString="0" minDate="1899-12-30T09:52:11" maxDate="1899-12-30T19:59:00"/>
    </cacheField>
    <cacheField name="Total Discount" numFmtId="4">
      <sharedItems containsSemiMixedTypes="0" containsString="0" containsNumber="1" containsInteger="1" minValue="0" maxValue="0"/>
    </cacheField>
    <cacheField name="Line Discount" numFmtId="4">
      <sharedItems containsSemiMixedTypes="0" containsString="0" containsNumber="1" containsInteger="1" minValue="0" maxValue="100"/>
    </cacheField>
    <cacheField name="Periodic Discount" numFmtId="4">
      <sharedItems containsSemiMixedTypes="0" containsString="0" containsNumber="1" containsInteger="1" minValue="0" maxValue="0"/>
    </cacheField>
    <cacheField name="Price in Barcode" numFmtId="1">
      <sharedItems/>
    </cacheField>
    <cacheField name="Line was Discounted" numFmtId="1">
      <sharedItems/>
    </cacheField>
    <cacheField name="Item Number Scanned" numFmtId="1">
      <sharedItems/>
    </cacheField>
    <cacheField name="Scale Item" numFmtId="1">
      <sharedItems/>
    </cacheField>
    <cacheField name="Unit of Measure" numFmtId="49">
      <sharedItems/>
    </cacheField>
    <cacheField name="Summary Created for Yardi" numFmtId="1">
      <sharedItems/>
    </cacheField>
    <cacheField name="Cooking Class Item" numFmtId="1">
      <sharedItems/>
    </cacheField>
    <cacheField name="Cooking Class Date" numFmtId="14">
      <sharedItems containsNonDate="0" containsDate="1" containsString="0" containsBlank="1" minDate="2025-12-01T00:00:00" maxDate="2025-12-31T00:00:00"/>
    </cacheField>
    <cacheField name="Cooking Class End Time" numFmtId="170">
      <sharedItems containsSemiMixedTypes="0" containsNonDate="0" containsDate="1" containsString="0" minDate="1899-12-30T00:00:00" maxDate="1899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198786"/>
    <s v="Item on File"/>
    <s v="00000P0002000201279"/>
    <s v="6295624870021"/>
    <s v="104648"/>
    <x v="0"/>
    <s v="T0004014"/>
    <s v="Mamalu Kitchen"/>
    <s v="100465610200003"/>
    <d v="2025-12-01T00:00:00"/>
    <n v="-1"/>
    <n v="55"/>
    <n v="-52.38"/>
    <n v="0"/>
    <n v="-2.62"/>
    <s v="P0002"/>
    <s v="910910"/>
    <s v=""/>
    <d v="1899-12-30T17:39:25"/>
    <n v="0"/>
    <n v="0"/>
    <n v="0"/>
    <b v="0"/>
    <b v="0"/>
    <b v="0"/>
    <b v="0"/>
    <s v="PCS"/>
    <b v="1"/>
    <b v="0"/>
    <m/>
    <d v="1899-12-30T00:00:00"/>
  </r>
  <r>
    <n v="198796"/>
    <s v="Item on File"/>
    <s v="00000P0002000201289"/>
    <s v=""/>
    <s v="103115"/>
    <x v="1"/>
    <s v="T0004014"/>
    <s v="Mamalu Kitchen"/>
    <s v="100465610200003"/>
    <d v="2025-12-01T00:00:00"/>
    <n v="-1"/>
    <n v="375"/>
    <n v="-357.14"/>
    <n v="0"/>
    <n v="-17.86"/>
    <s v="P0002"/>
    <s v="321731"/>
    <s v=""/>
    <d v="1899-12-30T18:09:30"/>
    <n v="0"/>
    <n v="0"/>
    <n v="0"/>
    <b v="0"/>
    <b v="0"/>
    <b v="0"/>
    <b v="0"/>
    <s v="HEAD"/>
    <b v="1"/>
    <b v="0"/>
    <m/>
    <d v="1899-12-30T00:00:00"/>
  </r>
  <r>
    <n v="198797"/>
    <s v="Item on File"/>
    <s v="00000P0002000201290"/>
    <s v=""/>
    <s v="103115"/>
    <x v="1"/>
    <s v="T0004014"/>
    <s v="Mamalu Kitchen"/>
    <s v="100465610200003"/>
    <d v="2025-12-01T00:00:00"/>
    <n v="-1"/>
    <n v="375"/>
    <n v="-357.14"/>
    <n v="0"/>
    <n v="-17.86"/>
    <s v="P0002"/>
    <s v="321731"/>
    <s v=""/>
    <d v="1899-12-30T18:10:11"/>
    <n v="0"/>
    <n v="0"/>
    <n v="0"/>
    <b v="0"/>
    <b v="0"/>
    <b v="0"/>
    <b v="0"/>
    <s v="HEAD"/>
    <b v="1"/>
    <b v="0"/>
    <m/>
    <d v="1899-12-30T00:00:00"/>
  </r>
  <r>
    <n v="198798"/>
    <s v="Item on File"/>
    <s v="00000P0002000201291"/>
    <s v=""/>
    <s v="103115"/>
    <x v="1"/>
    <s v="T0004014"/>
    <s v="Mamalu Kitchen"/>
    <s v="100465610200003"/>
    <d v="2025-12-01T00:00:00"/>
    <n v="-2"/>
    <n v="475"/>
    <n v="-904.76"/>
    <n v="0"/>
    <n v="-45.24"/>
    <s v="P0002"/>
    <s v="321731"/>
    <s v=""/>
    <d v="1899-12-30T18:11:18"/>
    <n v="0"/>
    <n v="0"/>
    <n v="0"/>
    <b v="0"/>
    <b v="0"/>
    <b v="0"/>
    <b v="0"/>
    <s v="HEAD"/>
    <b v="1"/>
    <b v="0"/>
    <m/>
    <d v="1899-12-30T00:00:00"/>
  </r>
  <r>
    <n v="198799"/>
    <s v="Item on File"/>
    <s v="00000P0002000201292"/>
    <s v=""/>
    <s v="103115"/>
    <x v="1"/>
    <s v="T0004014"/>
    <s v="Mamalu Kitchen"/>
    <s v="100465610200003"/>
    <d v="2025-12-01T00:00:00"/>
    <n v="-1"/>
    <n v="200"/>
    <n v="-190.48"/>
    <n v="0"/>
    <n v="-9.52"/>
    <s v="P0002"/>
    <s v="321731"/>
    <s v=""/>
    <d v="1899-12-30T18:12:37"/>
    <n v="0"/>
    <n v="0"/>
    <n v="0"/>
    <b v="0"/>
    <b v="0"/>
    <b v="0"/>
    <b v="0"/>
    <s v="HEAD"/>
    <b v="1"/>
    <b v="0"/>
    <m/>
    <d v="1899-12-30T00:00:00"/>
  </r>
  <r>
    <n v="198800"/>
    <s v="Item on File"/>
    <s v="00000P0002000201293"/>
    <s v=""/>
    <s v="103011"/>
    <x v="2"/>
    <s v="T0004014"/>
    <s v="Mamalu Kitchen"/>
    <s v="100465610200003"/>
    <d v="2025-12-01T00:00:00"/>
    <n v="-2"/>
    <n v="250"/>
    <n v="-476.19"/>
    <n v="0"/>
    <n v="-23.81"/>
    <s v="P0002"/>
    <s v="321731"/>
    <s v=""/>
    <d v="1899-12-30T18:13:36"/>
    <n v="0"/>
    <n v="0"/>
    <n v="0"/>
    <b v="0"/>
    <b v="0"/>
    <b v="0"/>
    <b v="0"/>
    <s v="HEAD"/>
    <b v="1"/>
    <b v="0"/>
    <d v="2025-12-01T00:00:00"/>
    <d v="1899-12-30T17:30:00"/>
  </r>
  <r>
    <n v="198801"/>
    <s v="Item on File"/>
    <s v="00000P0002000201294"/>
    <s v=""/>
    <s v="106975"/>
    <x v="3"/>
    <s v="T0004014"/>
    <s v="Mamalu Kitchen"/>
    <s v="100465610200003"/>
    <d v="2025-12-01T00:00:00"/>
    <n v="-3"/>
    <n v="275"/>
    <n v="-785.71"/>
    <n v="0"/>
    <n v="-39.29"/>
    <s v="P0002"/>
    <s v="321731"/>
    <s v=""/>
    <d v="1899-12-30T18:15:40"/>
    <n v="0"/>
    <n v="0"/>
    <n v="0"/>
    <b v="0"/>
    <b v="0"/>
    <b v="0"/>
    <b v="0"/>
    <s v="HEAD"/>
    <b v="1"/>
    <b v="0"/>
    <d v="2025-12-01T00:00:00"/>
    <d v="1899-12-30T12:30:00"/>
  </r>
  <r>
    <n v="198802"/>
    <s v="Item on File"/>
    <s v="00000P0002000201295"/>
    <s v=""/>
    <s v="106975"/>
    <x v="3"/>
    <s v="T0004014"/>
    <s v="Mamalu Kitchen"/>
    <s v="100465610200003"/>
    <d v="2025-12-01T00:00:00"/>
    <n v="-2"/>
    <n v="275"/>
    <n v="-523.80999999999995"/>
    <n v="0"/>
    <n v="-26.19"/>
    <s v="P0002"/>
    <s v="321731"/>
    <s v=""/>
    <d v="1899-12-30T18:16:44"/>
    <n v="0"/>
    <n v="0"/>
    <n v="0"/>
    <b v="0"/>
    <b v="0"/>
    <b v="0"/>
    <b v="0"/>
    <s v="HEAD"/>
    <b v="1"/>
    <b v="0"/>
    <d v="2025-12-01T00:00:00"/>
    <d v="1899-12-30T12:30:00"/>
  </r>
  <r>
    <n v="198803"/>
    <s v="Item on File"/>
    <s v="00000P0002000201296"/>
    <s v=""/>
    <s v="106975"/>
    <x v="3"/>
    <s v="T0004014"/>
    <s v="Mamalu Kitchen"/>
    <s v="100465610200003"/>
    <d v="2025-12-01T00:00:00"/>
    <n v="-2"/>
    <n v="275"/>
    <n v="-523.80999999999995"/>
    <n v="0"/>
    <n v="-26.19"/>
    <s v="P0002"/>
    <s v="321731"/>
    <s v=""/>
    <d v="1899-12-30T18:17:24"/>
    <n v="0"/>
    <n v="0"/>
    <n v="0"/>
    <b v="0"/>
    <b v="0"/>
    <b v="0"/>
    <b v="0"/>
    <s v="HEAD"/>
    <b v="1"/>
    <b v="0"/>
    <d v="2025-12-01T00:00:00"/>
    <d v="1899-12-30T12:30:00"/>
  </r>
  <r>
    <n v="198810"/>
    <s v="Item on File"/>
    <s v="00000P0002000201297"/>
    <s v=""/>
    <s v="103012"/>
    <x v="4"/>
    <s v="T0004014"/>
    <s v="Mamalu Kitchen"/>
    <s v="100465610200003"/>
    <d v="2025-12-01T00:00:00"/>
    <n v="-1"/>
    <n v="750"/>
    <n v="-714.29"/>
    <n v="0"/>
    <n v="-35.71"/>
    <s v="P0002"/>
    <s v="321731"/>
    <s v=""/>
    <d v="1899-12-30T18:47:42"/>
    <n v="0"/>
    <n v="0"/>
    <n v="0"/>
    <b v="0"/>
    <b v="0"/>
    <b v="0"/>
    <b v="0"/>
    <s v="HEAD"/>
    <b v="1"/>
    <b v="0"/>
    <d v="2025-12-01T00:00:00"/>
    <d v="1899-12-30T13:00:00"/>
  </r>
  <r>
    <n v="198810"/>
    <s v="Item on File"/>
    <s v="00000P0002000201297"/>
    <s v=""/>
    <s v="107830"/>
    <x v="5"/>
    <s v="T0004014"/>
    <s v="Mamalu Kitchen"/>
    <s v="100465610200003"/>
    <d v="2025-12-01T00:00:00"/>
    <n v="-1"/>
    <n v="313.5"/>
    <n v="-298.57"/>
    <n v="0"/>
    <n v="-14.93"/>
    <s v="P0002"/>
    <s v="321731"/>
    <s v=""/>
    <d v="1899-12-30T18:47:42"/>
    <n v="0"/>
    <n v="0"/>
    <n v="0"/>
    <b v="0"/>
    <b v="0"/>
    <b v="0"/>
    <b v="0"/>
    <s v="PCS"/>
    <b v="1"/>
    <b v="0"/>
    <m/>
    <d v="1899-12-30T00:00:00"/>
  </r>
  <r>
    <n v="199034"/>
    <s v="Item on File"/>
    <s v="00000P0002000201528"/>
    <s v=""/>
    <s v="111611"/>
    <x v="6"/>
    <s v="T0004014"/>
    <s v="Mamalu Kitchen"/>
    <s v="100465610200003"/>
    <d v="2025-12-05T00:00:00"/>
    <n v="-1"/>
    <n v="275"/>
    <n v="-261.89999999999998"/>
    <n v="0"/>
    <n v="-13.1"/>
    <s v="P0002"/>
    <s v="324051"/>
    <s v=""/>
    <d v="1899-12-30T17:33:22"/>
    <n v="0"/>
    <n v="0"/>
    <n v="0"/>
    <b v="0"/>
    <b v="0"/>
    <b v="0"/>
    <b v="0"/>
    <s v="HEAD"/>
    <b v="1"/>
    <b v="0"/>
    <d v="2025-12-05T00:00:00"/>
    <d v="1899-12-30T13:00:00"/>
  </r>
  <r>
    <n v="199035"/>
    <s v="Item on File"/>
    <s v="00000P0002000201529"/>
    <s v=""/>
    <s v="102210"/>
    <x v="7"/>
    <s v="T0004014"/>
    <s v="Mamalu Kitchen"/>
    <s v="100465610200003"/>
    <d v="2025-12-05T00:00:00"/>
    <n v="-1"/>
    <n v="300"/>
    <n v="-285.70999999999998"/>
    <n v="0"/>
    <n v="-14.29"/>
    <s v="P0002"/>
    <s v="324051"/>
    <s v=""/>
    <d v="1899-12-30T17:34:28"/>
    <n v="0"/>
    <n v="0"/>
    <n v="0"/>
    <b v="0"/>
    <b v="0"/>
    <b v="0"/>
    <b v="0"/>
    <s v="HEAD"/>
    <b v="1"/>
    <b v="0"/>
    <d v="2025-12-05T00:00:00"/>
    <d v="1899-12-30T17:00:00"/>
  </r>
  <r>
    <n v="199036"/>
    <s v="Item on File"/>
    <s v="00000P0002000201530"/>
    <s v=""/>
    <s v="104880"/>
    <x v="8"/>
    <s v="T0004014"/>
    <s v="Mamalu Kitchen"/>
    <s v="100465610200003"/>
    <d v="2025-12-05T00:00:00"/>
    <n v="-1"/>
    <n v="225"/>
    <n v="-214.29"/>
    <n v="0"/>
    <n v="-10.71"/>
    <s v="P0002"/>
    <s v="324051"/>
    <s v=""/>
    <d v="1899-12-30T17:35:35"/>
    <n v="0"/>
    <n v="0"/>
    <n v="0"/>
    <b v="0"/>
    <b v="0"/>
    <b v="0"/>
    <b v="0"/>
    <s v="HEAD"/>
    <b v="1"/>
    <b v="0"/>
    <d v="2025-12-05T00:00:00"/>
    <d v="1899-12-30T12:30:00"/>
  </r>
  <r>
    <n v="199037"/>
    <s v="Item on File"/>
    <s v="00000P0002000201531"/>
    <s v=""/>
    <s v="113993"/>
    <x v="9"/>
    <s v="T0004014"/>
    <s v="Mamalu Kitchen"/>
    <s v="100465610200003"/>
    <d v="2025-12-05T00:00:00"/>
    <n v="-2"/>
    <n v="275"/>
    <n v="-523.80999999999995"/>
    <n v="0"/>
    <n v="-26.19"/>
    <s v="P0002"/>
    <s v="324051"/>
    <s v=""/>
    <d v="1899-12-30T17:37:03"/>
    <n v="0"/>
    <n v="0"/>
    <n v="0"/>
    <b v="0"/>
    <b v="0"/>
    <b v="0"/>
    <b v="0"/>
    <s v="HEAD"/>
    <b v="1"/>
    <b v="0"/>
    <d v="2025-12-07T00:00:00"/>
    <d v="1899-12-30T03:00:00"/>
  </r>
  <r>
    <n v="199040"/>
    <s v="Item on File"/>
    <s v="00000P0002000201534"/>
    <s v=""/>
    <s v="103011"/>
    <x v="2"/>
    <s v="T0004014"/>
    <s v="Mamalu Kitchen"/>
    <s v="100465610200003"/>
    <d v="2025-12-05T00:00:00"/>
    <n v="-15"/>
    <n v="250"/>
    <n v="-3571.43"/>
    <n v="0"/>
    <n v="-178.57"/>
    <s v="P0002"/>
    <s v="324051"/>
    <s v=""/>
    <d v="1899-12-30T17:40:28"/>
    <n v="0"/>
    <n v="0"/>
    <n v="0"/>
    <b v="0"/>
    <b v="0"/>
    <b v="0"/>
    <b v="0"/>
    <s v="HEAD"/>
    <b v="1"/>
    <b v="0"/>
    <d v="2025-12-06T00:00:00"/>
    <d v="1899-12-30T05:00:00"/>
  </r>
  <r>
    <n v="199041"/>
    <s v="Item on File"/>
    <s v="00000P0002000201535"/>
    <s v=""/>
    <s v="104555"/>
    <x v="10"/>
    <s v="T0004014"/>
    <s v="Mamalu Kitchen"/>
    <s v="100465610200003"/>
    <d v="2025-12-05T00:00:00"/>
    <n v="-13"/>
    <n v="180"/>
    <n v="-2228.5700000000002"/>
    <n v="0"/>
    <n v="-111.43"/>
    <s v="P0002"/>
    <s v="324051"/>
    <s v=""/>
    <d v="1899-12-30T17:41:34"/>
    <n v="0"/>
    <n v="0"/>
    <n v="0"/>
    <b v="0"/>
    <b v="0"/>
    <b v="0"/>
    <b v="0"/>
    <s v="HEAD"/>
    <b v="1"/>
    <b v="0"/>
    <d v="2025-12-05T00:00:00"/>
    <d v="1899-12-30T05:00:00"/>
  </r>
  <r>
    <n v="199215"/>
    <s v="Item on File"/>
    <s v="00000P0003000185662"/>
    <s v=""/>
    <s v="113993"/>
    <x v="9"/>
    <s v="T0004014"/>
    <s v="Mamalu Kitchen"/>
    <s v="100465610200003"/>
    <d v="2025-12-07T00:00:00"/>
    <n v="-2"/>
    <n v="275"/>
    <n v="-523.80999999999995"/>
    <n v="0"/>
    <n v="-26.19"/>
    <s v="P0002"/>
    <s v="321731"/>
    <s v=""/>
    <d v="1899-12-30T17:02:42"/>
    <n v="0"/>
    <n v="0"/>
    <n v="0"/>
    <b v="0"/>
    <b v="0"/>
    <b v="0"/>
    <b v="0"/>
    <s v="HEAD"/>
    <b v="1"/>
    <b v="0"/>
    <d v="2025-12-07T00:00:00"/>
    <d v="1899-12-30T15:30:00"/>
  </r>
  <r>
    <n v="199216"/>
    <s v="Item on File"/>
    <s v="00000P0003000185665"/>
    <s v=""/>
    <s v="104540"/>
    <x v="11"/>
    <s v="T0004014"/>
    <s v="Mamalu Kitchen"/>
    <s v="100465610200003"/>
    <d v="2025-12-07T00:00:00"/>
    <n v="-1"/>
    <n v="1000"/>
    <n v="-952.38"/>
    <n v="0"/>
    <n v="-47.62"/>
    <s v="P0002"/>
    <s v="321731"/>
    <s v=""/>
    <d v="1899-12-30T17:03:57"/>
    <n v="0"/>
    <n v="0"/>
    <n v="0"/>
    <b v="0"/>
    <b v="0"/>
    <b v="0"/>
    <b v="0"/>
    <s v="HEAD"/>
    <b v="1"/>
    <b v="0"/>
    <d v="2025-12-08T00:00:00"/>
    <d v="1899-12-30T12:00:00"/>
  </r>
  <r>
    <n v="199217"/>
    <s v="Item on File"/>
    <s v="00000P0003000185666"/>
    <s v=""/>
    <s v="105043"/>
    <x v="12"/>
    <s v="T0004014"/>
    <s v="Mamalu Kitchen"/>
    <s v="100465610200003"/>
    <d v="2025-12-07T00:00:00"/>
    <n v="-2"/>
    <n v="250"/>
    <n v="-476.19"/>
    <n v="0"/>
    <n v="-23.81"/>
    <s v="P0002"/>
    <s v="321731"/>
    <s v=""/>
    <d v="1899-12-30T17:04:57"/>
    <n v="0"/>
    <n v="0"/>
    <n v="0"/>
    <b v="0"/>
    <b v="0"/>
    <b v="0"/>
    <b v="0"/>
    <s v="HEAD"/>
    <b v="1"/>
    <b v="0"/>
    <d v="2025-12-08T00:00:00"/>
    <d v="1899-12-30T12:00:00"/>
  </r>
  <r>
    <n v="199219"/>
    <s v="Item on File"/>
    <s v="00000P0003000185667"/>
    <s v=""/>
    <s v="105043"/>
    <x v="12"/>
    <s v="T0004014"/>
    <s v="Mamalu Kitchen"/>
    <s v="100465610200003"/>
    <d v="2025-12-07T00:00:00"/>
    <n v="-2"/>
    <n v="250"/>
    <n v="-476.19"/>
    <n v="0"/>
    <n v="-23.81"/>
    <s v="P0002"/>
    <s v="321731"/>
    <s v=""/>
    <d v="1899-12-30T17:06:43"/>
    <n v="0"/>
    <n v="0"/>
    <n v="0"/>
    <b v="0"/>
    <b v="0"/>
    <b v="0"/>
    <b v="0"/>
    <s v="HEAD"/>
    <b v="1"/>
    <b v="0"/>
    <d v="2025-12-09T00:00:00"/>
    <d v="1899-12-30T12:00:00"/>
  </r>
  <r>
    <n v="199220"/>
    <s v="Item on File"/>
    <s v="00000P0003000185668"/>
    <s v=""/>
    <s v="103899"/>
    <x v="13"/>
    <s v="T0004014"/>
    <s v="Mamalu Kitchen"/>
    <s v="100465610200003"/>
    <d v="2025-12-07T00:00:00"/>
    <n v="-15"/>
    <n v="350"/>
    <n v="-5000"/>
    <n v="0"/>
    <n v="-250"/>
    <s v="P0002"/>
    <s v="321731"/>
    <s v=""/>
    <d v="1899-12-30T17:07:24"/>
    <n v="0"/>
    <n v="0"/>
    <n v="0"/>
    <b v="0"/>
    <b v="0"/>
    <b v="0"/>
    <b v="0"/>
    <s v="HEAD"/>
    <b v="1"/>
    <b v="0"/>
    <d v="2025-12-13T00:00:00"/>
    <d v="1899-12-30T13:00:00"/>
  </r>
  <r>
    <n v="199221"/>
    <s v="Item on File"/>
    <s v="00000P0003000185670"/>
    <s v=""/>
    <s v="102210"/>
    <x v="7"/>
    <s v="T0004014"/>
    <s v="Mamalu Kitchen"/>
    <s v="100465610200003"/>
    <d v="2025-12-07T00:00:00"/>
    <n v="-2"/>
    <n v="300"/>
    <n v="-571.42999999999995"/>
    <n v="0"/>
    <n v="-28.57"/>
    <s v="P0002"/>
    <s v="321731"/>
    <s v=""/>
    <d v="1899-12-30T17:08:19"/>
    <n v="0"/>
    <n v="0"/>
    <n v="0"/>
    <b v="0"/>
    <b v="0"/>
    <b v="0"/>
    <b v="0"/>
    <s v="HEAD"/>
    <b v="1"/>
    <b v="0"/>
    <d v="2025-12-13T00:00:00"/>
    <d v="1899-12-30T12:00:00"/>
  </r>
  <r>
    <n v="199222"/>
    <s v="Item on File"/>
    <s v="00000P0003000185671"/>
    <s v=""/>
    <s v="111611"/>
    <x v="6"/>
    <s v="T0004014"/>
    <s v="Mamalu Kitchen"/>
    <s v="100465610200003"/>
    <d v="2025-12-07T00:00:00"/>
    <n v="-2"/>
    <n v="275"/>
    <n v="-523.80999999999995"/>
    <n v="0"/>
    <n v="-26.19"/>
    <s v="P0002"/>
    <s v="321731"/>
    <s v=""/>
    <d v="1899-12-30T17:09:04"/>
    <n v="0"/>
    <n v="0"/>
    <n v="0"/>
    <b v="0"/>
    <b v="0"/>
    <b v="0"/>
    <b v="0"/>
    <s v="HEAD"/>
    <b v="1"/>
    <b v="0"/>
    <d v="2025-12-07T00:00:00"/>
    <d v="1899-12-30T15:30:00"/>
  </r>
  <r>
    <n v="199223"/>
    <s v="Item on File"/>
    <s v="00000P0003000185669"/>
    <s v=""/>
    <s v="104540"/>
    <x v="11"/>
    <s v="T0004014"/>
    <s v="Mamalu Kitchen"/>
    <s v="100465610200003"/>
    <d v="2025-12-07T00:00:00"/>
    <n v="-2"/>
    <n v="1000"/>
    <n v="-1904.76"/>
    <n v="0"/>
    <n v="-95.24"/>
    <s v="P0002"/>
    <s v="321731"/>
    <s v=""/>
    <d v="1899-12-30T17:11:22"/>
    <n v="0"/>
    <n v="0"/>
    <n v="0"/>
    <b v="0"/>
    <b v="0"/>
    <b v="0"/>
    <b v="0"/>
    <s v="HEAD"/>
    <b v="1"/>
    <b v="0"/>
    <d v="2025-12-08T00:00:00"/>
    <d v="1899-12-30T12:00:00"/>
  </r>
  <r>
    <n v="199224"/>
    <s v="Item on File"/>
    <s v="00000P0003000185663"/>
    <s v=""/>
    <s v="111611"/>
    <x v="6"/>
    <s v="T0004014"/>
    <s v="Mamalu Kitchen"/>
    <s v="100465610200003"/>
    <d v="2025-12-07T00:00:00"/>
    <n v="-2"/>
    <n v="275"/>
    <n v="-523.80999999999995"/>
    <n v="0"/>
    <n v="-26.19"/>
    <s v="P0002"/>
    <s v="321731"/>
    <s v=""/>
    <d v="1899-12-30T17:12:32"/>
    <n v="0"/>
    <n v="0"/>
    <n v="0"/>
    <b v="0"/>
    <b v="0"/>
    <b v="0"/>
    <b v="0"/>
    <s v="HEAD"/>
    <b v="1"/>
    <b v="0"/>
    <d v="2025-12-07T00:00:00"/>
    <d v="1899-12-30T13:00:00"/>
  </r>
  <r>
    <n v="199226"/>
    <s v="Item on File"/>
    <s v="00000P0003000185664"/>
    <s v=""/>
    <s v="111611"/>
    <x v="6"/>
    <s v="T0004014"/>
    <s v="Mamalu Kitchen"/>
    <s v="100465610200003"/>
    <d v="2025-12-07T00:00:00"/>
    <n v="-1"/>
    <n v="275"/>
    <n v="-261.89999999999998"/>
    <n v="0"/>
    <n v="-13.1"/>
    <s v="P0002"/>
    <s v="321731"/>
    <s v=""/>
    <d v="1899-12-30T17:14:02"/>
    <n v="0"/>
    <n v="0"/>
    <n v="0"/>
    <b v="0"/>
    <b v="0"/>
    <b v="0"/>
    <b v="0"/>
    <s v="HEAD"/>
    <b v="1"/>
    <b v="0"/>
    <d v="2025-12-07T00:00:00"/>
    <d v="1899-12-30T13:00:00"/>
  </r>
  <r>
    <n v="199358"/>
    <s v="Item on File"/>
    <s v="00000P0002000201846"/>
    <s v=""/>
    <s v="103899"/>
    <x v="13"/>
    <s v="T0004014"/>
    <s v="Mamalu Kitchen"/>
    <s v="100465610200003"/>
    <d v="2025-12-09T00:00:00"/>
    <n v="-23"/>
    <n v="350"/>
    <n v="-7666.67"/>
    <n v="0"/>
    <n v="-383.33"/>
    <s v="P0002"/>
    <s v="910910"/>
    <s v=""/>
    <d v="1899-12-30T18:40:41"/>
    <n v="0"/>
    <n v="0"/>
    <n v="0"/>
    <b v="0"/>
    <b v="0"/>
    <b v="0"/>
    <b v="0"/>
    <s v="HEAD"/>
    <b v="1"/>
    <b v="0"/>
    <d v="2025-12-11T00:00:00"/>
    <d v="1899-12-30T13:00:00"/>
  </r>
  <r>
    <n v="199359"/>
    <s v="Item on File"/>
    <s v="00000P0002000201849"/>
    <s v=""/>
    <s v="105043"/>
    <x v="12"/>
    <s v="T0004014"/>
    <s v="Mamalu Kitchen"/>
    <s v="100465610200003"/>
    <d v="2025-12-09T00:00:00"/>
    <n v="-1"/>
    <n v="250"/>
    <n v="-238.09"/>
    <n v="0"/>
    <n v="-11.91"/>
    <s v="P0002"/>
    <s v="910910"/>
    <s v=""/>
    <d v="1899-12-30T18:42:19"/>
    <n v="0"/>
    <n v="0"/>
    <n v="0"/>
    <b v="0"/>
    <b v="0"/>
    <b v="0"/>
    <b v="0"/>
    <s v="HEAD"/>
    <b v="1"/>
    <b v="0"/>
    <d v="2025-12-12T00:00:00"/>
    <d v="1899-12-30T12:30:00"/>
  </r>
  <r>
    <n v="199470"/>
    <s v="Item on File"/>
    <s v="00000P0002000201955"/>
    <s v=""/>
    <s v="103115"/>
    <x v="1"/>
    <s v="T0004014"/>
    <s v="Mamalu Kitchen"/>
    <s v="100465610200003"/>
    <d v="2025-12-11T00:00:00"/>
    <n v="-2"/>
    <n v="650"/>
    <n v="-1238.0899999999999"/>
    <n v="0"/>
    <n v="-61.91"/>
    <s v="P0002"/>
    <s v="324051"/>
    <s v=""/>
    <d v="1899-12-30T16:52:25"/>
    <n v="0"/>
    <n v="0"/>
    <n v="0"/>
    <b v="0"/>
    <b v="0"/>
    <b v="0"/>
    <b v="0"/>
    <s v="HEAD"/>
    <b v="1"/>
    <b v="0"/>
    <m/>
    <d v="1899-12-30T00:00:00"/>
  </r>
  <r>
    <n v="199477"/>
    <s v="Item on File"/>
    <s v="00000P0002000201963"/>
    <s v="660111518094"/>
    <s v="107317"/>
    <x v="14"/>
    <s v="T0004014"/>
    <s v="Mamalu Kitchen"/>
    <s v="100465610200003"/>
    <d v="2025-12-11T00:00:00"/>
    <n v="-1"/>
    <n v="34.53"/>
    <n v="-32.89"/>
    <n v="0"/>
    <n v="-1.64"/>
    <s v="P0002"/>
    <s v="324051"/>
    <s v=""/>
    <d v="1899-12-30T17:28:06"/>
    <n v="0"/>
    <n v="0"/>
    <n v="0"/>
    <b v="0"/>
    <b v="0"/>
    <b v="0"/>
    <b v="0"/>
    <s v="PCS"/>
    <b v="1"/>
    <b v="0"/>
    <m/>
    <d v="1899-12-30T00:00:00"/>
  </r>
  <r>
    <n v="199478"/>
    <s v="Item on File"/>
    <s v="00000P0002000201964"/>
    <s v=""/>
    <s v="105043"/>
    <x v="12"/>
    <s v="T0004014"/>
    <s v="Mamalu Kitchen"/>
    <s v="100465610200003"/>
    <d v="2025-12-11T00:00:00"/>
    <n v="-2"/>
    <n v="250"/>
    <n v="-476.19"/>
    <n v="0"/>
    <n v="-23.81"/>
    <s v="P0002"/>
    <s v="324051"/>
    <s v=""/>
    <d v="1899-12-30T17:29:36"/>
    <n v="0"/>
    <n v="0"/>
    <n v="0"/>
    <b v="0"/>
    <b v="0"/>
    <b v="0"/>
    <b v="0"/>
    <s v="HEAD"/>
    <b v="1"/>
    <b v="0"/>
    <d v="2025-12-11T00:00:00"/>
    <d v="1899-12-30T12:00:00"/>
  </r>
  <r>
    <n v="199479"/>
    <s v="Item on File"/>
    <s v="00000P0002000201965"/>
    <s v=""/>
    <s v="105043"/>
    <x v="12"/>
    <s v="T0004014"/>
    <s v="Mamalu Kitchen"/>
    <s v="100465610200003"/>
    <d v="2025-12-11T00:00:00"/>
    <n v="-1"/>
    <n v="250"/>
    <n v="-238.09"/>
    <n v="0"/>
    <n v="-11.91"/>
    <s v="P0002"/>
    <s v="324051"/>
    <s v=""/>
    <d v="1899-12-30T17:30:20"/>
    <n v="0"/>
    <n v="0"/>
    <n v="0"/>
    <b v="0"/>
    <b v="0"/>
    <b v="0"/>
    <b v="0"/>
    <s v="HEAD"/>
    <b v="1"/>
    <b v="0"/>
    <d v="2025-12-11T00:00:00"/>
    <d v="1899-12-30T12:00:00"/>
  </r>
  <r>
    <n v="199480"/>
    <s v="Item on File"/>
    <s v="00000P0002000201966"/>
    <s v=""/>
    <s v="104540"/>
    <x v="11"/>
    <s v="T0004014"/>
    <s v="Mamalu Kitchen"/>
    <s v="100465610200003"/>
    <d v="2025-12-11T00:00:00"/>
    <n v="-1"/>
    <n v="1000"/>
    <n v="-952.38"/>
    <n v="0"/>
    <n v="-47.62"/>
    <s v="P0002"/>
    <s v="324051"/>
    <s v=""/>
    <d v="1899-12-30T17:31:03"/>
    <n v="0"/>
    <n v="0"/>
    <n v="0"/>
    <b v="0"/>
    <b v="0"/>
    <b v="0"/>
    <b v="0"/>
    <s v="HEAD"/>
    <b v="1"/>
    <b v="0"/>
    <d v="2025-12-11T00:00:00"/>
    <d v="1899-12-30T12:00:00"/>
  </r>
  <r>
    <n v="199674"/>
    <s v="Item on File"/>
    <s v="00000P0002000202164"/>
    <s v=""/>
    <s v="111611"/>
    <x v="6"/>
    <s v="T0004014"/>
    <s v="Mamalu Kitchen"/>
    <s v="100465610200003"/>
    <d v="2025-12-13T00:00:00"/>
    <n v="-1"/>
    <n v="275"/>
    <n v="-261.89999999999998"/>
    <n v="0"/>
    <n v="-13.1"/>
    <s v="P0002"/>
    <s v="322331"/>
    <s v=""/>
    <d v="1899-12-30T18:34:36"/>
    <n v="0"/>
    <n v="0"/>
    <n v="0"/>
    <b v="0"/>
    <b v="0"/>
    <b v="0"/>
    <b v="0"/>
    <s v="HEAD"/>
    <b v="1"/>
    <b v="0"/>
    <d v="2025-12-20T00:00:00"/>
    <d v="1899-12-30T13:00:00"/>
  </r>
  <r>
    <n v="199675"/>
    <s v="Item on File"/>
    <s v="00000P0002000202165"/>
    <s v=""/>
    <s v="114001"/>
    <x v="15"/>
    <s v="T0004014"/>
    <s v="Mamalu Kitchen"/>
    <s v="100465610200003"/>
    <d v="2025-12-13T00:00:00"/>
    <n v="-1"/>
    <n v="250"/>
    <n v="-238.09"/>
    <n v="0"/>
    <n v="-11.91"/>
    <s v="P0002"/>
    <s v="322331"/>
    <s v=""/>
    <d v="1899-12-30T18:35:41"/>
    <n v="0"/>
    <n v="0"/>
    <n v="0"/>
    <b v="0"/>
    <b v="0"/>
    <b v="0"/>
    <b v="0"/>
    <s v="HEAD"/>
    <b v="1"/>
    <b v="0"/>
    <d v="2025-12-27T00:00:00"/>
    <d v="1899-12-30T13:00:00"/>
  </r>
  <r>
    <n v="199676"/>
    <s v="Item on File"/>
    <s v="00000P0002000202166"/>
    <s v=""/>
    <s v="105043"/>
    <x v="12"/>
    <s v="T0004014"/>
    <s v="Mamalu Kitchen"/>
    <s v="100465610200003"/>
    <d v="2025-12-13T00:00:00"/>
    <n v="-1"/>
    <n v="250"/>
    <n v="-238.09"/>
    <n v="0"/>
    <n v="-11.91"/>
    <s v="P0002"/>
    <s v="322331"/>
    <s v=""/>
    <d v="1899-12-30T18:36:47"/>
    <n v="0"/>
    <n v="0"/>
    <n v="0"/>
    <b v="0"/>
    <b v="0"/>
    <b v="0"/>
    <b v="0"/>
    <s v="HEAD"/>
    <b v="1"/>
    <b v="0"/>
    <d v="2025-12-15T00:00:00"/>
    <d v="1899-12-30T13:00:00"/>
  </r>
  <r>
    <n v="199677"/>
    <s v="Item on File"/>
    <s v="00000P0002000202167"/>
    <s v=""/>
    <s v="105043"/>
    <x v="12"/>
    <s v="T0004014"/>
    <s v="Mamalu Kitchen"/>
    <s v="100465610200003"/>
    <d v="2025-12-13T00:00:00"/>
    <n v="-1"/>
    <n v="250"/>
    <n v="-238.1"/>
    <n v="0"/>
    <n v="-11.9"/>
    <s v="P0002"/>
    <s v="322331"/>
    <s v=""/>
    <d v="1899-12-30T18:37:24"/>
    <n v="0"/>
    <n v="0"/>
    <n v="0"/>
    <b v="0"/>
    <b v="0"/>
    <b v="0"/>
    <b v="0"/>
    <s v="HEAD"/>
    <b v="1"/>
    <b v="0"/>
    <d v="2025-12-15T00:00:00"/>
    <d v="1899-12-30T13:00:00"/>
  </r>
  <r>
    <n v="199678"/>
    <s v="Item on File"/>
    <s v="00000P0002000202168"/>
    <s v=""/>
    <s v="104540"/>
    <x v="11"/>
    <s v="T0004014"/>
    <s v="Mamalu Kitchen"/>
    <s v="100465610200003"/>
    <d v="2025-12-13T00:00:00"/>
    <n v="-1"/>
    <n v="1000"/>
    <n v="-952.38"/>
    <n v="0"/>
    <n v="-47.62"/>
    <s v="P0002"/>
    <s v="322331"/>
    <s v=""/>
    <d v="1899-12-30T18:38:26"/>
    <n v="0"/>
    <n v="0"/>
    <n v="0"/>
    <b v="0"/>
    <b v="0"/>
    <b v="0"/>
    <b v="0"/>
    <s v="HEAD"/>
    <b v="1"/>
    <b v="0"/>
    <d v="2025-12-15T00:00:00"/>
    <d v="1899-12-30T13:00:00"/>
  </r>
  <r>
    <n v="199680"/>
    <s v="Item on File"/>
    <s v="00000P0002000202170"/>
    <s v=""/>
    <s v="111610"/>
    <x v="16"/>
    <s v="T0004014"/>
    <s v="Mamalu Kitchen"/>
    <s v="100465610200003"/>
    <d v="2025-12-13T00:00:00"/>
    <n v="-3"/>
    <n v="300"/>
    <n v="-857.14"/>
    <n v="0"/>
    <n v="-42.86"/>
    <s v="P0002"/>
    <s v="322331"/>
    <s v=""/>
    <d v="1899-12-30T18:40:07"/>
    <n v="0"/>
    <n v="0"/>
    <n v="0"/>
    <b v="0"/>
    <b v="0"/>
    <b v="0"/>
    <b v="0"/>
    <s v="HEAD"/>
    <b v="1"/>
    <b v="0"/>
    <d v="2025-12-13T00:00:00"/>
    <d v="1899-12-30T17:00:00"/>
  </r>
  <r>
    <n v="199681"/>
    <s v="Item on File"/>
    <s v="00000P0002000202171"/>
    <s v=""/>
    <s v="111610"/>
    <x v="16"/>
    <s v="T0004014"/>
    <s v="Mamalu Kitchen"/>
    <s v="100465610200003"/>
    <d v="2025-12-13T00:00:00"/>
    <n v="-2"/>
    <n v="300"/>
    <n v="-571.42999999999995"/>
    <n v="0"/>
    <n v="-28.57"/>
    <s v="P0002"/>
    <s v="322331"/>
    <s v=""/>
    <d v="1899-12-30T18:41:02"/>
    <n v="0"/>
    <n v="0"/>
    <n v="0"/>
    <b v="0"/>
    <b v="0"/>
    <b v="0"/>
    <b v="0"/>
    <s v="HEAD"/>
    <b v="1"/>
    <b v="0"/>
    <d v="2025-12-13T00:00:00"/>
    <d v="1899-12-30T17:00:00"/>
  </r>
  <r>
    <n v="199724"/>
    <s v="Item on File"/>
    <s v="00000P0002000202214"/>
    <s v="6295624870038"/>
    <s v="104646"/>
    <x v="17"/>
    <s v="T0004014"/>
    <s v="Mamalu Kitchen"/>
    <s v="100465610200003"/>
    <d v="2025-12-15T00:00:00"/>
    <n v="-2"/>
    <n v="55"/>
    <n v="-104.76"/>
    <n v="0"/>
    <n v="-5.24"/>
    <s v="P0002"/>
    <s v="910910"/>
    <s v=""/>
    <d v="1899-12-30T11:41:35"/>
    <n v="0"/>
    <n v="0"/>
    <n v="0"/>
    <b v="0"/>
    <b v="0"/>
    <b v="0"/>
    <b v="0"/>
    <s v="PCS"/>
    <b v="1"/>
    <b v="0"/>
    <m/>
    <d v="1899-12-30T00:00:00"/>
  </r>
  <r>
    <n v="199734"/>
    <s v="Item on File"/>
    <s v="00000P0002000202222"/>
    <s v=""/>
    <s v="105043"/>
    <x v="12"/>
    <s v="T0004014"/>
    <s v="Mamalu Kitchen"/>
    <s v="100465610200003"/>
    <d v="2025-12-15T00:00:00"/>
    <n v="-1"/>
    <n v="250"/>
    <n v="-238.09"/>
    <n v="0"/>
    <n v="-11.91"/>
    <s v="P0002"/>
    <s v="910910"/>
    <s v=""/>
    <d v="1899-12-30T12:48:34"/>
    <n v="0"/>
    <n v="0"/>
    <n v="0"/>
    <b v="0"/>
    <b v="0"/>
    <b v="0"/>
    <b v="0"/>
    <s v="HEAD"/>
    <b v="1"/>
    <b v="0"/>
    <d v="2025-12-15T00:00:00"/>
    <d v="1899-12-30T12:30:00"/>
  </r>
  <r>
    <n v="199736"/>
    <s v="Item on File"/>
    <s v="00000P0002000202225"/>
    <s v=""/>
    <s v="105043"/>
    <x v="12"/>
    <s v="T0004014"/>
    <s v="Mamalu Kitchen"/>
    <s v="100465610200003"/>
    <d v="2025-12-15T00:00:00"/>
    <n v="-1"/>
    <n v="250"/>
    <n v="-238.09"/>
    <n v="0"/>
    <n v="-11.91"/>
    <s v="P0002"/>
    <s v="910910"/>
    <s v=""/>
    <d v="1899-12-30T12:57:22"/>
    <n v="0"/>
    <n v="0"/>
    <n v="0"/>
    <b v="0"/>
    <b v="0"/>
    <b v="0"/>
    <b v="0"/>
    <s v="HEAD"/>
    <b v="1"/>
    <b v="0"/>
    <d v="2025-12-15T00:00:00"/>
    <d v="1899-12-30T12:30:00"/>
  </r>
  <r>
    <n v="199809"/>
    <s v="Item on File"/>
    <s v="00000P0002000202299"/>
    <s v=""/>
    <s v="105043"/>
    <x v="12"/>
    <s v="T0004014"/>
    <s v="Mamalu Kitchen"/>
    <s v="100465610200003"/>
    <d v="2025-12-15T00:00:00"/>
    <n v="-1"/>
    <n v="250"/>
    <n v="-238.09"/>
    <n v="0"/>
    <n v="-11.91"/>
    <s v="P0002"/>
    <s v="910910"/>
    <s v=""/>
    <d v="1899-12-30T19:10:27"/>
    <n v="0"/>
    <n v="0"/>
    <n v="0"/>
    <b v="0"/>
    <b v="0"/>
    <b v="0"/>
    <b v="0"/>
    <s v="HEAD"/>
    <b v="1"/>
    <b v="0"/>
    <d v="2025-12-16T00:00:00"/>
    <d v="1899-12-30T12:30:00"/>
  </r>
  <r>
    <n v="199811"/>
    <s v="Item on File"/>
    <s v="00000P0002000202301"/>
    <s v=""/>
    <s v="104540"/>
    <x v="11"/>
    <s v="T0004014"/>
    <s v="Mamalu Kitchen"/>
    <s v="100465610200003"/>
    <d v="2025-12-15T00:00:00"/>
    <n v="-1"/>
    <n v="1000"/>
    <n v="-857.15"/>
    <n v="100"/>
    <n v="-42.85"/>
    <s v="P0002"/>
    <s v="910910"/>
    <s v=""/>
    <d v="1899-12-30T19:11:59"/>
    <n v="0"/>
    <n v="100"/>
    <n v="0"/>
    <b v="0"/>
    <b v="1"/>
    <b v="0"/>
    <b v="0"/>
    <s v="HEAD"/>
    <b v="1"/>
    <b v="0"/>
    <d v="2025-12-15T00:00:00"/>
    <d v="1899-12-30T14:30:00"/>
  </r>
  <r>
    <n v="199812"/>
    <s v="Item on File"/>
    <s v="00000P0002000202302"/>
    <s v=""/>
    <s v="105043"/>
    <x v="12"/>
    <s v="T0004014"/>
    <s v="Mamalu Kitchen"/>
    <s v="100465610200003"/>
    <d v="2025-12-15T00:00:00"/>
    <n v="-1"/>
    <n v="250"/>
    <n v="-238.09"/>
    <n v="0"/>
    <n v="-11.91"/>
    <s v="P0002"/>
    <s v="910910"/>
    <s v=""/>
    <d v="1899-12-30T19:13:20"/>
    <n v="0"/>
    <n v="0"/>
    <n v="0"/>
    <b v="0"/>
    <b v="0"/>
    <b v="0"/>
    <b v="0"/>
    <s v="HEAD"/>
    <b v="1"/>
    <b v="0"/>
    <d v="2025-12-16T00:00:00"/>
    <d v="1899-12-30T12:30:00"/>
  </r>
  <r>
    <n v="199819"/>
    <s v="Item on File"/>
    <s v="00000P0002000202309"/>
    <s v=""/>
    <s v="105043"/>
    <x v="12"/>
    <s v="T0004014"/>
    <s v="Mamalu Kitchen"/>
    <s v="100465610200003"/>
    <d v="2025-12-15T00:00:00"/>
    <n v="-1"/>
    <n v="250"/>
    <n v="-238.09"/>
    <n v="0"/>
    <n v="-11.91"/>
    <s v="P0002"/>
    <s v="322331"/>
    <s v=""/>
    <d v="1899-12-30T19:59:00"/>
    <n v="0"/>
    <n v="0"/>
    <n v="0"/>
    <b v="0"/>
    <b v="0"/>
    <b v="0"/>
    <b v="0"/>
    <s v="HEAD"/>
    <b v="1"/>
    <b v="0"/>
    <d v="2025-12-17T00:00:00"/>
    <d v="1899-12-30T12:30:00"/>
  </r>
  <r>
    <n v="199851"/>
    <s v="Item on File"/>
    <s v="00000P0002000202340"/>
    <s v=""/>
    <s v="105080"/>
    <x v="18"/>
    <s v="T0004014"/>
    <s v="Mamalu Kitchen"/>
    <s v="100465610200003"/>
    <d v="2025-12-17T00:00:00"/>
    <n v="-2"/>
    <n v="43.35"/>
    <n v="-82.57"/>
    <n v="0"/>
    <n v="-4.13"/>
    <s v="P0002"/>
    <s v="321731"/>
    <s v=""/>
    <d v="1899-12-30T10:54:37"/>
    <n v="0"/>
    <n v="0"/>
    <n v="0"/>
    <b v="0"/>
    <b v="0"/>
    <b v="0"/>
    <b v="0"/>
    <s v="PCS"/>
    <b v="1"/>
    <b v="0"/>
    <m/>
    <d v="1899-12-30T00:00:00"/>
  </r>
  <r>
    <n v="199894"/>
    <s v="Item on File"/>
    <s v="00000P0002000202383"/>
    <s v="6295624870021"/>
    <s v="104648"/>
    <x v="0"/>
    <s v="T0004014"/>
    <s v="Mamalu Kitchen"/>
    <s v="100465610200003"/>
    <d v="2025-12-17T00:00:00"/>
    <n v="-1"/>
    <n v="55"/>
    <n v="-52.38"/>
    <n v="0"/>
    <n v="-2.62"/>
    <s v="P0002"/>
    <s v="324051"/>
    <s v=""/>
    <d v="1899-12-30T15:03:35"/>
    <n v="0"/>
    <n v="0"/>
    <n v="0"/>
    <b v="0"/>
    <b v="0"/>
    <b v="0"/>
    <b v="0"/>
    <s v="PCS"/>
    <b v="1"/>
    <b v="0"/>
    <m/>
    <d v="1899-12-30T00:00:00"/>
  </r>
  <r>
    <n v="199930"/>
    <s v="Item on File"/>
    <s v="00000P0002000202421"/>
    <s v=""/>
    <s v="105043"/>
    <x v="12"/>
    <s v="T0004014"/>
    <s v="Mamalu Kitchen"/>
    <s v="100465610200003"/>
    <d v="2025-12-17T00:00:00"/>
    <n v="-1"/>
    <n v="250"/>
    <n v="-238.09"/>
    <n v="0"/>
    <n v="-11.91"/>
    <s v="P0002"/>
    <s v="321731"/>
    <s v=""/>
    <d v="1899-12-30T18:48:30"/>
    <n v="0"/>
    <n v="0"/>
    <n v="0"/>
    <b v="0"/>
    <b v="0"/>
    <b v="0"/>
    <b v="0"/>
    <s v="HEAD"/>
    <b v="1"/>
    <b v="0"/>
    <d v="2025-12-17T00:00:00"/>
    <d v="1899-12-30T12:30:00"/>
  </r>
  <r>
    <n v="199931"/>
    <s v="Item on File"/>
    <s v="00000P0002000202422"/>
    <s v=""/>
    <s v="111611"/>
    <x v="6"/>
    <s v="T0004014"/>
    <s v="Mamalu Kitchen"/>
    <s v="100465610200003"/>
    <d v="2025-12-17T00:00:00"/>
    <n v="-3"/>
    <n v="275"/>
    <n v="-785.71"/>
    <n v="0"/>
    <n v="-39.29"/>
    <s v="P0002"/>
    <s v="321731"/>
    <s v=""/>
    <d v="1899-12-30T18:49:19"/>
    <n v="0"/>
    <n v="0"/>
    <n v="0"/>
    <b v="0"/>
    <b v="0"/>
    <b v="0"/>
    <b v="0"/>
    <s v="HEAD"/>
    <b v="1"/>
    <b v="0"/>
    <d v="2025-12-22T00:00:00"/>
    <d v="1899-12-30T13:00:00"/>
  </r>
  <r>
    <n v="199932"/>
    <s v="Item on File"/>
    <s v="00000P0002000202423"/>
    <s v=""/>
    <s v="111611"/>
    <x v="6"/>
    <s v="T0004014"/>
    <s v="Mamalu Kitchen"/>
    <s v="100465610200003"/>
    <d v="2025-12-17T00:00:00"/>
    <n v="-2"/>
    <n v="275"/>
    <n v="-523.80999999999995"/>
    <n v="0"/>
    <n v="-26.19"/>
    <s v="P0002"/>
    <s v="321731"/>
    <s v=""/>
    <d v="1899-12-30T18:50:08"/>
    <n v="0"/>
    <n v="0"/>
    <n v="0"/>
    <b v="0"/>
    <b v="0"/>
    <b v="0"/>
    <b v="0"/>
    <s v="HEAD"/>
    <b v="1"/>
    <b v="0"/>
    <d v="2025-12-22T00:00:00"/>
    <d v="1899-12-30T13:00:00"/>
  </r>
  <r>
    <n v="199934"/>
    <s v="Item on File"/>
    <s v="00000P0002000202425"/>
    <s v=""/>
    <s v="111611"/>
    <x v="6"/>
    <s v="T0004014"/>
    <s v="Mamalu Kitchen"/>
    <s v="100465610200003"/>
    <d v="2025-12-17T00:00:00"/>
    <n v="-1"/>
    <n v="275"/>
    <n v="-261.89999999999998"/>
    <n v="0"/>
    <n v="-13.1"/>
    <s v="P0002"/>
    <s v="321731"/>
    <s v=""/>
    <d v="1899-12-30T18:51:35"/>
    <n v="0"/>
    <n v="0"/>
    <n v="0"/>
    <b v="0"/>
    <b v="0"/>
    <b v="0"/>
    <b v="0"/>
    <s v="HEAD"/>
    <b v="1"/>
    <b v="0"/>
    <d v="2025-12-22T00:00:00"/>
    <d v="1899-12-30T13:00:00"/>
  </r>
  <r>
    <n v="199935"/>
    <s v="Item on File"/>
    <s v="00000P0002000202426"/>
    <s v=""/>
    <s v="113997"/>
    <x v="19"/>
    <s v="T0004014"/>
    <s v="Mamalu Kitchen"/>
    <s v="100465610200003"/>
    <d v="2025-12-17T00:00:00"/>
    <n v="-1"/>
    <n v="275"/>
    <n v="-261.89999999999998"/>
    <n v="0"/>
    <n v="-13.1"/>
    <s v="P0002"/>
    <s v="321731"/>
    <s v=""/>
    <d v="1899-12-30T18:52:53"/>
    <n v="0"/>
    <n v="0"/>
    <n v="0"/>
    <b v="0"/>
    <b v="0"/>
    <b v="0"/>
    <b v="0"/>
    <s v="HEAD"/>
    <b v="1"/>
    <b v="0"/>
    <d v="2025-12-20T00:00:00"/>
    <d v="1899-12-30T12:30:00"/>
  </r>
  <r>
    <n v="199936"/>
    <s v="Item on File"/>
    <s v="00000P0002000202427"/>
    <s v=""/>
    <s v="105043"/>
    <x v="12"/>
    <s v="T0004014"/>
    <s v="Mamalu Kitchen"/>
    <s v="100465610200003"/>
    <d v="2025-12-17T00:00:00"/>
    <n v="-1"/>
    <n v="250"/>
    <n v="-238.09"/>
    <n v="0"/>
    <n v="-11.91"/>
    <s v="P0002"/>
    <s v="321731"/>
    <s v=""/>
    <d v="1899-12-30T18:53:58"/>
    <n v="0"/>
    <n v="0"/>
    <n v="0"/>
    <b v="0"/>
    <b v="0"/>
    <b v="0"/>
    <b v="0"/>
    <s v="HEAD"/>
    <b v="1"/>
    <b v="0"/>
    <d v="2025-12-17T00:00:00"/>
    <d v="1899-12-30T12:30:00"/>
  </r>
  <r>
    <n v="199938"/>
    <s v="Item on File"/>
    <s v="00000P0002000202428"/>
    <s v=""/>
    <s v="105043"/>
    <x v="12"/>
    <s v="T0004014"/>
    <s v="Mamalu Kitchen"/>
    <s v="100465610200003"/>
    <d v="2025-12-17T00:00:00"/>
    <n v="-1"/>
    <n v="250"/>
    <n v="-238.09"/>
    <n v="0"/>
    <n v="-11.91"/>
    <s v="P0002"/>
    <s v="321731"/>
    <s v=""/>
    <d v="1899-12-30T18:55:03"/>
    <n v="0"/>
    <n v="0"/>
    <n v="0"/>
    <b v="0"/>
    <b v="0"/>
    <b v="0"/>
    <b v="0"/>
    <s v="HEAD"/>
    <b v="1"/>
    <b v="0"/>
    <d v="2025-12-17T00:00:00"/>
    <d v="1899-12-30T12:30:00"/>
  </r>
  <r>
    <n v="199940"/>
    <s v="Item on File"/>
    <s v="00000P0002000202431"/>
    <s v=""/>
    <s v="113996"/>
    <x v="20"/>
    <s v="T0004014"/>
    <s v="Mamalu Kitchen"/>
    <s v="100465610200003"/>
    <d v="2025-12-17T00:00:00"/>
    <n v="-3"/>
    <n v="225"/>
    <n v="-642.86"/>
    <n v="0"/>
    <n v="-32.14"/>
    <s v="P0002"/>
    <s v="321731"/>
    <s v=""/>
    <d v="1899-12-30T18:57:03"/>
    <n v="0"/>
    <n v="0"/>
    <n v="0"/>
    <b v="0"/>
    <b v="0"/>
    <b v="0"/>
    <b v="0"/>
    <s v="HEAD"/>
    <b v="1"/>
    <b v="0"/>
    <d v="2025-12-17T00:00:00"/>
    <d v="1899-12-30T16:30:00"/>
  </r>
  <r>
    <n v="199941"/>
    <s v="Item on File"/>
    <s v="00000P0002000202432"/>
    <s v=""/>
    <s v="113996"/>
    <x v="20"/>
    <s v="T0004014"/>
    <s v="Mamalu Kitchen"/>
    <s v="100465610200003"/>
    <d v="2025-12-17T00:00:00"/>
    <n v="-3"/>
    <n v="225"/>
    <n v="-642.86"/>
    <n v="0"/>
    <n v="-32.14"/>
    <s v="P0002"/>
    <s v="321731"/>
    <s v=""/>
    <d v="1899-12-30T18:58:22"/>
    <n v="0"/>
    <n v="0"/>
    <n v="0"/>
    <b v="0"/>
    <b v="0"/>
    <b v="0"/>
    <b v="0"/>
    <s v="HEAD"/>
    <b v="1"/>
    <b v="0"/>
    <d v="2025-12-17T00:00:00"/>
    <d v="1899-12-30T16:30:00"/>
  </r>
  <r>
    <n v="199942"/>
    <s v="Item on File"/>
    <s v="00000P0002000202433"/>
    <s v=""/>
    <s v="113996"/>
    <x v="20"/>
    <s v="T0004014"/>
    <s v="Mamalu Kitchen"/>
    <s v="100465610200003"/>
    <d v="2025-12-17T00:00:00"/>
    <n v="-3"/>
    <n v="225"/>
    <n v="-642.86"/>
    <n v="0"/>
    <n v="-32.14"/>
    <s v="P0002"/>
    <s v="321731"/>
    <s v=""/>
    <d v="1899-12-30T18:59:10"/>
    <n v="0"/>
    <n v="0"/>
    <n v="0"/>
    <b v="0"/>
    <b v="0"/>
    <b v="0"/>
    <b v="0"/>
    <s v="HEAD"/>
    <b v="1"/>
    <b v="0"/>
    <d v="2025-12-17T00:00:00"/>
    <d v="1899-12-30T16:30:00"/>
  </r>
  <r>
    <n v="199943"/>
    <s v="Item on File"/>
    <s v="00000P0002000202434"/>
    <s v=""/>
    <s v="103115"/>
    <x v="1"/>
    <s v="T0004014"/>
    <s v="Mamalu Kitchen"/>
    <s v="100465610200003"/>
    <d v="2025-12-17T00:00:00"/>
    <n v="-1"/>
    <n v="700"/>
    <n v="-666.67"/>
    <n v="0"/>
    <n v="-33.33"/>
    <s v="P0002"/>
    <s v="321731"/>
    <s v=""/>
    <d v="1899-12-30T19:00:09"/>
    <n v="0"/>
    <n v="0"/>
    <n v="0"/>
    <b v="0"/>
    <b v="0"/>
    <b v="0"/>
    <b v="0"/>
    <s v="HEAD"/>
    <b v="1"/>
    <b v="0"/>
    <m/>
    <d v="1899-12-30T00:00:00"/>
  </r>
  <r>
    <n v="199944"/>
    <s v="Item on File"/>
    <s v="00000P0002000202435"/>
    <s v=""/>
    <s v="103115"/>
    <x v="1"/>
    <s v="T0004014"/>
    <s v="Mamalu Kitchen"/>
    <s v="100465610200003"/>
    <d v="2025-12-17T00:00:00"/>
    <n v="-4"/>
    <n v="425"/>
    <n v="-1619.05"/>
    <n v="0"/>
    <n v="-80.95"/>
    <s v="P0002"/>
    <s v="321731"/>
    <s v=""/>
    <d v="1899-12-30T19:01:38"/>
    <n v="0"/>
    <n v="0"/>
    <n v="0"/>
    <b v="0"/>
    <b v="0"/>
    <b v="0"/>
    <b v="0"/>
    <s v="HEAD"/>
    <b v="1"/>
    <b v="0"/>
    <m/>
    <d v="1899-12-30T00:00:00"/>
  </r>
  <r>
    <n v="200279"/>
    <s v="Item on File"/>
    <s v="00000P0002000202764"/>
    <s v=""/>
    <s v="114002"/>
    <x v="21"/>
    <s v="T0004014"/>
    <s v="Mamalu Kitchen"/>
    <s v="100465610200003"/>
    <d v="2025-12-21T00:00:00"/>
    <n v="-1"/>
    <n v="250"/>
    <n v="-238.09"/>
    <n v="0"/>
    <n v="-11.91"/>
    <s v="P0002"/>
    <s v="321731"/>
    <s v=""/>
    <d v="1899-12-30T17:09:28"/>
    <n v="0"/>
    <n v="0"/>
    <n v="0"/>
    <b v="0"/>
    <b v="0"/>
    <b v="0"/>
    <b v="0"/>
    <s v="HEAD"/>
    <b v="1"/>
    <b v="0"/>
    <d v="2025-12-27T00:00:00"/>
    <d v="1899-12-30T12:30:00"/>
  </r>
  <r>
    <n v="200466"/>
    <s v="Item on File"/>
    <s v="00000P0002000202949"/>
    <s v=""/>
    <s v="105043"/>
    <x v="12"/>
    <s v="T0004014"/>
    <s v="Mamalu Kitchen"/>
    <s v="100465610200003"/>
    <d v="2025-12-23T00:00:00"/>
    <n v="-2"/>
    <n v="250"/>
    <n v="-476.19"/>
    <n v="0"/>
    <n v="-23.81"/>
    <s v="P0002"/>
    <s v="910910"/>
    <s v=""/>
    <d v="1899-12-30T18:13:45"/>
    <n v="0"/>
    <n v="0"/>
    <n v="0"/>
    <b v="0"/>
    <b v="0"/>
    <b v="0"/>
    <b v="0"/>
    <s v="HEAD"/>
    <b v="1"/>
    <b v="0"/>
    <d v="2025-12-23T00:00:00"/>
    <d v="1899-12-30T12:00:00"/>
  </r>
  <r>
    <n v="200467"/>
    <s v="Item on File"/>
    <s v="00000P0002000202950"/>
    <s v=""/>
    <s v="105043"/>
    <x v="12"/>
    <s v="T0004014"/>
    <s v="Mamalu Kitchen"/>
    <s v="100465610200003"/>
    <d v="2025-12-23T00:00:00"/>
    <n v="-2"/>
    <n v="250"/>
    <n v="-476.19"/>
    <n v="0"/>
    <n v="-23.81"/>
    <s v="P0002"/>
    <s v="910910"/>
    <s v=""/>
    <d v="1899-12-30T18:17:12"/>
    <n v="0"/>
    <n v="0"/>
    <n v="0"/>
    <b v="0"/>
    <b v="0"/>
    <b v="0"/>
    <b v="0"/>
    <s v="HEAD"/>
    <b v="1"/>
    <b v="0"/>
    <d v="2025-12-23T00:00:00"/>
    <d v="1899-12-30T12:30:00"/>
  </r>
  <r>
    <n v="200470"/>
    <s v="Item on File"/>
    <s v="00000P0002000202951"/>
    <s v=""/>
    <s v="108051"/>
    <x v="22"/>
    <s v="T0004014"/>
    <s v="Mamalu Kitchen"/>
    <s v="100465610200003"/>
    <d v="2025-12-23T00:00:00"/>
    <n v="-2"/>
    <n v="200"/>
    <n v="-380.95"/>
    <n v="0"/>
    <n v="-19.05"/>
    <s v="P0002"/>
    <s v="910910"/>
    <s v=""/>
    <d v="1899-12-30T18:19:38"/>
    <n v="0"/>
    <n v="0"/>
    <n v="0"/>
    <b v="0"/>
    <b v="0"/>
    <b v="0"/>
    <b v="0"/>
    <s v="HEAD"/>
    <b v="1"/>
    <b v="0"/>
    <d v="2025-12-23T00:00:00"/>
    <d v="1899-12-30T12:30:00"/>
  </r>
  <r>
    <n v="200471"/>
    <s v="Item on File"/>
    <s v="00000P0002000202954"/>
    <s v=""/>
    <s v="105043"/>
    <x v="12"/>
    <s v="T0004014"/>
    <s v="Mamalu Kitchen"/>
    <s v="100465610200003"/>
    <d v="2025-12-23T00:00:00"/>
    <n v="-1"/>
    <n v="250"/>
    <n v="-238.09"/>
    <n v="0"/>
    <n v="-11.91"/>
    <s v="P0002"/>
    <s v="910910"/>
    <s v=""/>
    <d v="1899-12-30T18:20:32"/>
    <n v="0"/>
    <n v="0"/>
    <n v="0"/>
    <b v="0"/>
    <b v="0"/>
    <b v="0"/>
    <b v="0"/>
    <s v="HEAD"/>
    <b v="1"/>
    <b v="0"/>
    <d v="2025-12-23T00:00:00"/>
    <d v="1899-12-30T12:30:00"/>
  </r>
  <r>
    <n v="200554"/>
    <s v="Item on File"/>
    <s v="00000P0002000203050"/>
    <s v=""/>
    <s v="111611"/>
    <x v="6"/>
    <s v="T0004014"/>
    <s v="Mamalu Kitchen"/>
    <s v="100465610200003"/>
    <d v="2025-12-25T00:00:00"/>
    <n v="-2"/>
    <n v="275"/>
    <n v="-523.80999999999995"/>
    <n v="0"/>
    <n v="-26.19"/>
    <s v="P0002"/>
    <s v="321731"/>
    <s v=""/>
    <d v="1899-12-30T12:47:05"/>
    <n v="0"/>
    <n v="0"/>
    <n v="0"/>
    <b v="0"/>
    <b v="0"/>
    <b v="0"/>
    <b v="0"/>
    <s v="HEAD"/>
    <b v="1"/>
    <b v="0"/>
    <d v="2025-12-25T00:00:00"/>
    <d v="1899-12-30T12:30:00"/>
  </r>
  <r>
    <n v="200618"/>
    <s v="Item on File"/>
    <s v="00000P0002000203111"/>
    <s v=""/>
    <s v="113997"/>
    <x v="19"/>
    <s v="T0004014"/>
    <s v="Mamalu Kitchen"/>
    <s v="100465610200003"/>
    <d v="2025-12-25T00:00:00"/>
    <n v="-2"/>
    <n v="275"/>
    <n v="-523.80999999999995"/>
    <n v="0"/>
    <n v="-26.19"/>
    <s v="P0002"/>
    <s v="321731"/>
    <s v=""/>
    <d v="1899-12-30T17:30:36"/>
    <n v="0"/>
    <n v="0"/>
    <n v="0"/>
    <b v="0"/>
    <b v="0"/>
    <b v="0"/>
    <b v="0"/>
    <s v="HEAD"/>
    <b v="1"/>
    <b v="0"/>
    <d v="2025-12-27T00:00:00"/>
    <d v="1899-12-30T17:00:00"/>
  </r>
  <r>
    <n v="200620"/>
    <s v="Item on File"/>
    <s v="00000P0002000203115"/>
    <s v=""/>
    <s v="114002"/>
    <x v="21"/>
    <s v="T0004014"/>
    <s v="Mamalu Kitchen"/>
    <s v="100465610200003"/>
    <d v="2025-12-25T00:00:00"/>
    <n v="-1"/>
    <n v="250"/>
    <n v="-238.09"/>
    <n v="0"/>
    <n v="-11.91"/>
    <s v="P0002"/>
    <s v="321731"/>
    <s v=""/>
    <d v="1899-12-30T17:33:21"/>
    <n v="0"/>
    <n v="0"/>
    <n v="0"/>
    <b v="0"/>
    <b v="0"/>
    <b v="0"/>
    <b v="0"/>
    <s v="HEAD"/>
    <b v="1"/>
    <b v="0"/>
    <d v="2025-12-28T00:00:00"/>
    <d v="1899-12-30T17:00:00"/>
  </r>
  <r>
    <n v="200621"/>
    <s v="Item on File"/>
    <s v="00000P0002000203116"/>
    <s v=""/>
    <s v="114002"/>
    <x v="21"/>
    <s v="T0004014"/>
    <s v="Mamalu Kitchen"/>
    <s v="100465610200003"/>
    <d v="2025-12-25T00:00:00"/>
    <n v="-3"/>
    <n v="250"/>
    <n v="-714.29"/>
    <n v="0"/>
    <n v="-35.71"/>
    <s v="P0002"/>
    <s v="321731"/>
    <s v=""/>
    <d v="1899-12-30T17:34:23"/>
    <n v="0"/>
    <n v="0"/>
    <n v="0"/>
    <b v="0"/>
    <b v="0"/>
    <b v="0"/>
    <b v="0"/>
    <s v="HEAD"/>
    <b v="1"/>
    <b v="0"/>
    <d v="2025-12-28T00:00:00"/>
    <d v="1899-12-30T17:00:00"/>
  </r>
  <r>
    <n v="200805"/>
    <s v="Item on File"/>
    <s v="00000P0002000203302"/>
    <s v=""/>
    <s v="111611"/>
    <x v="6"/>
    <s v="T0004014"/>
    <s v="Mamalu Kitchen"/>
    <s v="100465610200003"/>
    <d v="2025-12-27T00:00:00"/>
    <n v="-1"/>
    <n v="275"/>
    <n v="-261.89999999999998"/>
    <n v="0"/>
    <n v="-13.1"/>
    <s v="P0002"/>
    <s v="910910"/>
    <s v=""/>
    <d v="1899-12-30T17:53:20"/>
    <n v="0"/>
    <n v="0"/>
    <n v="0"/>
    <b v="0"/>
    <b v="0"/>
    <b v="0"/>
    <b v="0"/>
    <s v="HEAD"/>
    <b v="1"/>
    <b v="0"/>
    <d v="2025-12-27T00:00:00"/>
    <d v="1899-12-30T17:00:00"/>
  </r>
  <r>
    <n v="200993"/>
    <s v="Item on File"/>
    <s v="00000P0002000203489"/>
    <s v=""/>
    <s v="112928"/>
    <x v="23"/>
    <s v="T0004014"/>
    <s v="Mamalu Kitchen"/>
    <s v="100465610200003"/>
    <d v="2025-12-29T00:00:00"/>
    <n v="-1"/>
    <n v="575"/>
    <n v="-547.62"/>
    <n v="0"/>
    <n v="-27.38"/>
    <s v="P0002"/>
    <s v="322331"/>
    <s v=""/>
    <d v="1899-12-30T17:11:34"/>
    <n v="0"/>
    <n v="0"/>
    <n v="0"/>
    <b v="0"/>
    <b v="0"/>
    <b v="0"/>
    <b v="0"/>
    <s v="HEAD"/>
    <b v="1"/>
    <b v="0"/>
    <d v="2025-12-29T00:00:00"/>
    <d v="1899-12-30T16:00:00"/>
  </r>
  <r>
    <n v="200995"/>
    <s v="Item on File"/>
    <s v="00000P0002000203491"/>
    <s v=""/>
    <s v="105043"/>
    <x v="12"/>
    <s v="T0004014"/>
    <s v="Mamalu Kitchen"/>
    <s v="100465610200003"/>
    <d v="2025-12-29T00:00:00"/>
    <n v="-5"/>
    <n v="250"/>
    <n v="-1190.48"/>
    <n v="0"/>
    <n v="-59.52"/>
    <s v="P0002"/>
    <s v="322331"/>
    <s v=""/>
    <d v="1899-12-30T17:15:02"/>
    <n v="0"/>
    <n v="0"/>
    <n v="0"/>
    <b v="0"/>
    <b v="0"/>
    <b v="0"/>
    <b v="0"/>
    <s v="HEAD"/>
    <b v="1"/>
    <b v="0"/>
    <d v="2025-12-30T00:00:00"/>
    <d v="1899-12-30T16:00:00"/>
  </r>
  <r>
    <n v="200996"/>
    <s v="Item on File"/>
    <s v="00000P0002000203492"/>
    <s v=""/>
    <s v="103115"/>
    <x v="1"/>
    <s v="T0004014"/>
    <s v="Mamalu Kitchen"/>
    <s v="100465610200003"/>
    <d v="2025-12-29T00:00:00"/>
    <n v="-10"/>
    <n v="250"/>
    <n v="-2380.9499999999998"/>
    <n v="0"/>
    <n v="-119.05"/>
    <s v="P0002"/>
    <s v="322331"/>
    <s v=""/>
    <d v="1899-12-30T17:19:57"/>
    <n v="0"/>
    <n v="0"/>
    <n v="0"/>
    <b v="0"/>
    <b v="0"/>
    <b v="0"/>
    <b v="0"/>
    <s v="HEAD"/>
    <b v="1"/>
    <b v="0"/>
    <m/>
    <d v="1899-12-30T00:00:00"/>
  </r>
  <r>
    <n v="200996"/>
    <s v="Item on File"/>
    <s v="00000P0002000203492"/>
    <s v=""/>
    <s v="107717"/>
    <x v="24"/>
    <s v="T0004014"/>
    <s v="Mamalu Kitchen"/>
    <s v="100465610200003"/>
    <d v="2025-12-29T00:00:00"/>
    <n v="-10"/>
    <n v="70"/>
    <n v="-666.67"/>
    <n v="0"/>
    <n v="-33.33"/>
    <s v="P0002"/>
    <s v="322331"/>
    <s v=""/>
    <d v="1899-12-30T17:19:57"/>
    <n v="0"/>
    <n v="0"/>
    <n v="0"/>
    <b v="0"/>
    <b v="0"/>
    <b v="0"/>
    <b v="0"/>
    <s v="PCS"/>
    <b v="1"/>
    <b v="0"/>
    <m/>
    <d v="1899-12-30T00:00:00"/>
  </r>
  <r>
    <n v="200996"/>
    <s v="Item on File"/>
    <s v="00000P0002000203492"/>
    <s v=""/>
    <s v="107923"/>
    <x v="25"/>
    <s v="T0004014"/>
    <s v="Mamalu Kitchen"/>
    <s v="100465610200003"/>
    <d v="2025-12-29T00:00:00"/>
    <n v="-1"/>
    <n v="400"/>
    <n v="-380.95"/>
    <n v="0"/>
    <n v="-19.05"/>
    <s v="P0002"/>
    <s v="322331"/>
    <s v=""/>
    <d v="1899-12-30T17:19:57"/>
    <n v="0"/>
    <n v="0"/>
    <n v="0"/>
    <b v="0"/>
    <b v="0"/>
    <b v="0"/>
    <b v="0"/>
    <s v="PCS"/>
    <b v="1"/>
    <b v="0"/>
    <m/>
    <d v="1899-12-30T00:00:00"/>
  </r>
  <r>
    <n v="200996"/>
    <s v="Item on File"/>
    <s v="00000P0002000203492"/>
    <s v=""/>
    <s v="107719"/>
    <x v="26"/>
    <s v="T0004014"/>
    <s v="Mamalu Kitchen"/>
    <s v="100465610200003"/>
    <d v="2025-12-29T00:00:00"/>
    <n v="-1"/>
    <n v="200"/>
    <n v="-190.48"/>
    <n v="0"/>
    <n v="-9.52"/>
    <s v="P0002"/>
    <s v="322331"/>
    <s v=""/>
    <d v="1899-12-30T17:19:57"/>
    <n v="0"/>
    <n v="0"/>
    <n v="0"/>
    <b v="0"/>
    <b v="0"/>
    <b v="0"/>
    <b v="0"/>
    <s v="PCS"/>
    <b v="1"/>
    <b v="0"/>
    <m/>
    <d v="1899-12-30T00:00:00"/>
  </r>
  <r>
    <n v="200999"/>
    <s v="Item on File"/>
    <s v="00000P0002000203495"/>
    <s v=""/>
    <s v="103115"/>
    <x v="1"/>
    <s v="T0004014"/>
    <s v="Mamalu Kitchen"/>
    <s v="100465610200003"/>
    <d v="2025-12-29T00:00:00"/>
    <n v="-5"/>
    <n v="200"/>
    <n v="-952.38"/>
    <n v="0"/>
    <n v="-47.62"/>
    <s v="P0002"/>
    <s v="322331"/>
    <s v=""/>
    <d v="1899-12-30T17:38:30"/>
    <n v="0"/>
    <n v="0"/>
    <n v="0"/>
    <b v="0"/>
    <b v="0"/>
    <b v="0"/>
    <b v="0"/>
    <s v="HEAD"/>
    <b v="1"/>
    <b v="0"/>
    <m/>
    <d v="1899-12-30T00:00:00"/>
  </r>
  <r>
    <n v="200999"/>
    <s v="Item on File"/>
    <s v="00000P0002000203495"/>
    <s v=""/>
    <s v="107727"/>
    <x v="27"/>
    <s v="T0004014"/>
    <s v="Mamalu Kitchen"/>
    <s v="100465610200003"/>
    <d v="2025-12-29T00:00:00"/>
    <n v="-2"/>
    <n v="50"/>
    <n v="-95.24"/>
    <n v="0"/>
    <n v="-4.76"/>
    <s v="P0002"/>
    <s v="322331"/>
    <s v=""/>
    <d v="1899-12-30T17:38:30"/>
    <n v="0"/>
    <n v="0"/>
    <n v="0"/>
    <b v="0"/>
    <b v="0"/>
    <b v="0"/>
    <b v="0"/>
    <s v="PCS"/>
    <b v="1"/>
    <b v="0"/>
    <m/>
    <d v="1899-12-30T00:00:00"/>
  </r>
  <r>
    <n v="200999"/>
    <s v="Item on File"/>
    <s v="00000P0002000203495"/>
    <s v=""/>
    <s v="107730"/>
    <x v="28"/>
    <s v="T0004014"/>
    <s v="Mamalu Kitchen"/>
    <s v="100465610200003"/>
    <d v="2025-12-29T00:00:00"/>
    <n v="-2"/>
    <n v="50"/>
    <n v="-95.24"/>
    <n v="0"/>
    <n v="-4.76"/>
    <s v="P0002"/>
    <s v="322331"/>
    <s v=""/>
    <d v="1899-12-30T17:38:30"/>
    <n v="0"/>
    <n v="0"/>
    <n v="0"/>
    <b v="0"/>
    <b v="0"/>
    <b v="0"/>
    <b v="0"/>
    <s v="PCS"/>
    <b v="1"/>
    <b v="0"/>
    <m/>
    <d v="1899-12-30T00:00:00"/>
  </r>
  <r>
    <n v="200999"/>
    <s v="Item on File"/>
    <s v="00000P0002000203495"/>
    <s v=""/>
    <s v="107729"/>
    <x v="29"/>
    <s v="T0004014"/>
    <s v="Mamalu Kitchen"/>
    <s v="100465610200003"/>
    <d v="2025-12-29T00:00:00"/>
    <n v="-2"/>
    <n v="70"/>
    <n v="-133.33000000000001"/>
    <n v="0"/>
    <n v="-6.67"/>
    <s v="P0002"/>
    <s v="322331"/>
    <s v=""/>
    <d v="1899-12-30T17:38:30"/>
    <n v="0"/>
    <n v="0"/>
    <n v="0"/>
    <b v="0"/>
    <b v="0"/>
    <b v="0"/>
    <b v="0"/>
    <s v="PCS"/>
    <b v="1"/>
    <b v="0"/>
    <m/>
    <d v="1899-12-30T00:00:00"/>
  </r>
  <r>
    <n v="200999"/>
    <s v="Item on File"/>
    <s v="00000P0002000203495"/>
    <s v=""/>
    <s v="107728"/>
    <x v="30"/>
    <s v="T0004014"/>
    <s v="Mamalu Kitchen"/>
    <s v="100465610200003"/>
    <d v="2025-12-29T00:00:00"/>
    <n v="-2"/>
    <n v="60"/>
    <n v="-114.29"/>
    <n v="0"/>
    <n v="-5.71"/>
    <s v="P0002"/>
    <s v="322331"/>
    <s v=""/>
    <d v="1899-12-30T17:38:30"/>
    <n v="0"/>
    <n v="0"/>
    <n v="0"/>
    <b v="0"/>
    <b v="0"/>
    <b v="0"/>
    <b v="0"/>
    <s v="PCS"/>
    <b v="1"/>
    <b v="0"/>
    <m/>
    <d v="1899-12-30T00:00:00"/>
  </r>
  <r>
    <n v="200999"/>
    <s v="Item on File"/>
    <s v="00000P0002000203495"/>
    <s v=""/>
    <s v="107719"/>
    <x v="26"/>
    <s v="T0004014"/>
    <s v="Mamalu Kitchen"/>
    <s v="100465610200003"/>
    <d v="2025-12-29T00:00:00"/>
    <n v="-1"/>
    <n v="140"/>
    <n v="-133.33000000000001"/>
    <n v="0"/>
    <n v="-6.67"/>
    <s v="P0002"/>
    <s v="322331"/>
    <s v=""/>
    <d v="1899-12-30T17:38:30"/>
    <n v="0"/>
    <n v="0"/>
    <n v="0"/>
    <b v="0"/>
    <b v="0"/>
    <b v="0"/>
    <b v="0"/>
    <s v="PCS"/>
    <b v="1"/>
    <b v="0"/>
    <m/>
    <d v="1899-12-30T00:00:00"/>
  </r>
  <r>
    <n v="201276"/>
    <s v="Item on File"/>
    <s v="00000P0002000203747"/>
    <s v="808004108524"/>
    <s v="108524"/>
    <x v="31"/>
    <s v="T0004014"/>
    <s v="Mamalu Kitchen"/>
    <s v="100465610200003"/>
    <d v="2025-12-31T00:00:00"/>
    <n v="-1"/>
    <n v="39"/>
    <n v="-37.14"/>
    <n v="0"/>
    <n v="-1.86"/>
    <s v="P0002"/>
    <s v="910910"/>
    <s v=""/>
    <d v="1899-12-30T15:11:42"/>
    <n v="0"/>
    <n v="0"/>
    <n v="0"/>
    <b v="0"/>
    <b v="0"/>
    <b v="0"/>
    <b v="0"/>
    <s v="PCS"/>
    <b v="1"/>
    <b v="0"/>
    <m/>
    <d v="1899-12-30T00:00:00"/>
  </r>
  <r>
    <n v="187556"/>
    <s v="Item on File"/>
    <s v="00000P0002000201339"/>
    <s v=""/>
    <s v="106975"/>
    <x v="3"/>
    <s v="T0004014"/>
    <s v="Mamalu Kitchen"/>
    <s v="100465610200003"/>
    <d v="2025-12-02T00:00:00"/>
    <n v="-1"/>
    <n v="275"/>
    <n v="-261.89999999999998"/>
    <n v="0"/>
    <n v="-13.1"/>
    <s v="P0003"/>
    <s v="910910"/>
    <s v=""/>
    <d v="1899-12-30T14:22:23"/>
    <n v="0"/>
    <n v="0"/>
    <n v="0"/>
    <b v="0"/>
    <b v="0"/>
    <b v="0"/>
    <b v="0"/>
    <s v="HEAD"/>
    <b v="1"/>
    <b v="0"/>
    <d v="2025-12-02T00:00:00"/>
    <d v="1899-12-30T15:30:00"/>
  </r>
  <r>
    <n v="187575"/>
    <s v="Item on File"/>
    <s v="00000P0003000185242"/>
    <s v=""/>
    <s v="104880"/>
    <x v="8"/>
    <s v="T0004014"/>
    <s v="Mamalu Kitchen"/>
    <s v="100465610200003"/>
    <d v="2025-12-02T00:00:00"/>
    <n v="-1"/>
    <n v="225"/>
    <n v="-214.29"/>
    <n v="0"/>
    <n v="-10.71"/>
    <s v="P0003"/>
    <s v="910910"/>
    <s v=""/>
    <d v="1899-12-30T15:08:49"/>
    <n v="0"/>
    <n v="0"/>
    <n v="0"/>
    <b v="0"/>
    <b v="0"/>
    <b v="0"/>
    <b v="0"/>
    <s v="HEAD"/>
    <b v="1"/>
    <b v="0"/>
    <d v="2025-12-02T00:00:00"/>
    <d v="1899-12-30T15:30:00"/>
  </r>
  <r>
    <n v="187586"/>
    <s v="Item on File"/>
    <s v="00000P0003000185254"/>
    <s v=""/>
    <s v="106975"/>
    <x v="3"/>
    <s v="T0004014"/>
    <s v="Mamalu Kitchen"/>
    <s v="100465610200003"/>
    <d v="2025-12-02T00:00:00"/>
    <n v="-2"/>
    <n v="275"/>
    <n v="-523.80999999999995"/>
    <n v="0"/>
    <n v="-26.19"/>
    <s v="P0003"/>
    <s v="910910"/>
    <s v=""/>
    <d v="1899-12-30T15:58:34"/>
    <n v="0"/>
    <n v="0"/>
    <n v="0"/>
    <b v="0"/>
    <b v="0"/>
    <b v="0"/>
    <b v="0"/>
    <s v="HEAD"/>
    <b v="1"/>
    <b v="0"/>
    <d v="2025-12-02T00:00:00"/>
    <d v="1899-12-30T15:30:00"/>
  </r>
  <r>
    <n v="187588"/>
    <s v="Item on File"/>
    <s v="00000P0003000185256"/>
    <s v=""/>
    <s v="106327"/>
    <x v="32"/>
    <s v="T0004014"/>
    <s v="Mamalu Kitchen"/>
    <s v="100465610200003"/>
    <d v="2025-12-02T00:00:00"/>
    <n v="-2"/>
    <n v="250"/>
    <n v="-476.19"/>
    <n v="0"/>
    <n v="-23.81"/>
    <s v="P0003"/>
    <s v="910910"/>
    <s v=""/>
    <d v="1899-12-30T16:04:04"/>
    <n v="0"/>
    <n v="0"/>
    <n v="0"/>
    <b v="0"/>
    <b v="0"/>
    <b v="0"/>
    <b v="0"/>
    <s v="HEAD"/>
    <b v="1"/>
    <b v="0"/>
    <d v="2025-12-02T00:00:00"/>
    <d v="1899-12-30T12:30:00"/>
  </r>
  <r>
    <n v="187589"/>
    <s v="Item on File"/>
    <s v="00000P0003000185257"/>
    <s v=""/>
    <s v="106327"/>
    <x v="32"/>
    <s v="T0004014"/>
    <s v="Mamalu Kitchen"/>
    <s v="100465610200003"/>
    <d v="2025-12-02T00:00:00"/>
    <n v="-1"/>
    <n v="250"/>
    <n v="-238.09"/>
    <n v="0"/>
    <n v="-11.91"/>
    <s v="P0003"/>
    <s v="910910"/>
    <s v=""/>
    <d v="1899-12-30T16:05:34"/>
    <n v="0"/>
    <n v="0"/>
    <n v="0"/>
    <b v="0"/>
    <b v="0"/>
    <b v="0"/>
    <b v="0"/>
    <s v="HEAD"/>
    <b v="1"/>
    <b v="0"/>
    <d v="2025-12-02T00:00:00"/>
    <d v="1899-12-30T12:30:00"/>
  </r>
  <r>
    <n v="187679"/>
    <s v="Item on File"/>
    <s v="00000P0003000185345"/>
    <s v=""/>
    <s v="103115"/>
    <x v="1"/>
    <s v="T0004014"/>
    <s v="Mamalu Kitchen"/>
    <s v="100465610200003"/>
    <d v="2025-12-04T00:00:00"/>
    <n v="-2"/>
    <n v="200"/>
    <n v="-380.95"/>
    <n v="0"/>
    <n v="-19.05"/>
    <s v="P0003"/>
    <s v="910910"/>
    <s v=""/>
    <d v="1899-12-30T13:11:00"/>
    <n v="0"/>
    <n v="0"/>
    <n v="0"/>
    <b v="0"/>
    <b v="0"/>
    <b v="0"/>
    <b v="0"/>
    <s v="HEAD"/>
    <b v="1"/>
    <b v="0"/>
    <m/>
    <d v="1899-12-30T00:00:00"/>
  </r>
  <r>
    <n v="187680"/>
    <s v="Item on File"/>
    <s v="00000P0003000185346"/>
    <s v=""/>
    <s v="104540"/>
    <x v="11"/>
    <s v="T0004014"/>
    <s v="Mamalu Kitchen"/>
    <s v="100465610200003"/>
    <d v="2025-12-04T00:00:00"/>
    <n v="-1"/>
    <n v="1000"/>
    <n v="-952.38"/>
    <n v="0"/>
    <n v="-47.62"/>
    <s v="P0003"/>
    <s v="910910"/>
    <s v=""/>
    <d v="1899-12-30T13:17:42"/>
    <n v="0"/>
    <n v="0"/>
    <n v="0"/>
    <b v="0"/>
    <b v="0"/>
    <b v="0"/>
    <b v="0"/>
    <s v="HEAD"/>
    <b v="1"/>
    <b v="0"/>
    <d v="2025-12-08T00:00:00"/>
    <d v="1899-12-30T12:30:00"/>
  </r>
  <r>
    <n v="187682"/>
    <s v="Item on File"/>
    <s v="00000P0003000185348"/>
    <s v=""/>
    <s v="105043"/>
    <x v="12"/>
    <s v="T0004014"/>
    <s v="Mamalu Kitchen"/>
    <s v="100465610200003"/>
    <d v="2025-12-04T00:00:00"/>
    <n v="-1"/>
    <n v="250"/>
    <n v="-238.09"/>
    <n v="0"/>
    <n v="-11.91"/>
    <s v="P0003"/>
    <s v="910910"/>
    <s v=""/>
    <d v="1899-12-30T13:23:11"/>
    <n v="0"/>
    <n v="0"/>
    <n v="0"/>
    <b v="0"/>
    <b v="0"/>
    <b v="0"/>
    <b v="0"/>
    <s v="HEAD"/>
    <b v="1"/>
    <b v="0"/>
    <d v="2025-12-08T00:00:00"/>
    <d v="1899-12-30T12:30:00"/>
  </r>
  <r>
    <n v="187685"/>
    <s v="Item on File"/>
    <s v="00000P0003000185351"/>
    <s v=""/>
    <s v="105043"/>
    <x v="12"/>
    <s v="T0004014"/>
    <s v="Mamalu Kitchen"/>
    <s v="100465610200003"/>
    <d v="2025-12-04T00:00:00"/>
    <n v="-1"/>
    <n v="250"/>
    <n v="-238.09"/>
    <n v="0"/>
    <n v="-11.91"/>
    <s v="P0003"/>
    <s v="910910"/>
    <s v=""/>
    <d v="1899-12-30T13:26:29"/>
    <n v="0"/>
    <n v="0"/>
    <n v="0"/>
    <b v="0"/>
    <b v="0"/>
    <b v="0"/>
    <b v="0"/>
    <s v="HEAD"/>
    <b v="1"/>
    <b v="0"/>
    <d v="2025-12-09T00:00:00"/>
    <d v="1899-12-30T12:30:00"/>
  </r>
  <r>
    <n v="187687"/>
    <s v="Item on File"/>
    <s v="00000P0003000185352"/>
    <s v=""/>
    <s v="104880"/>
    <x v="8"/>
    <s v="T0004014"/>
    <s v="Mamalu Kitchen"/>
    <s v="100465610200003"/>
    <d v="2025-12-04T00:00:00"/>
    <n v="-15"/>
    <n v="225"/>
    <n v="-3214.29"/>
    <n v="0"/>
    <n v="-160.71"/>
    <s v="P0003"/>
    <s v="910910"/>
    <s v=""/>
    <d v="1899-12-30T13:29:30"/>
    <n v="0"/>
    <n v="0"/>
    <n v="0"/>
    <b v="0"/>
    <b v="0"/>
    <b v="0"/>
    <b v="0"/>
    <s v="HEAD"/>
    <b v="1"/>
    <b v="0"/>
    <d v="2025-12-04T00:00:00"/>
    <d v="1899-12-30T12:30:00"/>
  </r>
  <r>
    <n v="187687"/>
    <s v="Item on File"/>
    <s v="00000P0003000185352"/>
    <s v=""/>
    <s v="107923"/>
    <x v="25"/>
    <s v="T0004014"/>
    <s v="Mamalu Kitchen"/>
    <s v="100465610200003"/>
    <d v="2025-12-04T00:00:00"/>
    <n v="-1"/>
    <n v="900"/>
    <n v="-857.14"/>
    <n v="0"/>
    <n v="-42.86"/>
    <s v="P0003"/>
    <s v="910910"/>
    <s v=""/>
    <d v="1899-12-30T13:29:30"/>
    <n v="0"/>
    <n v="0"/>
    <n v="0"/>
    <b v="0"/>
    <b v="0"/>
    <b v="0"/>
    <b v="0"/>
    <s v="PCS"/>
    <b v="1"/>
    <b v="0"/>
    <m/>
    <d v="1899-12-30T00:00:00"/>
  </r>
  <r>
    <n v="187687"/>
    <s v="Item on File"/>
    <s v="00000P0003000185352"/>
    <s v=""/>
    <s v="107720"/>
    <x v="33"/>
    <s v="T0004014"/>
    <s v="Mamalu Kitchen"/>
    <s v="100465610200003"/>
    <d v="2025-12-04T00:00:00"/>
    <n v="-1"/>
    <n v="260"/>
    <n v="-247.62"/>
    <n v="0"/>
    <n v="-12.38"/>
    <s v="P0003"/>
    <s v="910910"/>
    <s v=""/>
    <d v="1899-12-30T13:29:30"/>
    <n v="0"/>
    <n v="0"/>
    <n v="0"/>
    <b v="0"/>
    <b v="0"/>
    <b v="0"/>
    <b v="0"/>
    <s v="PCS"/>
    <b v="1"/>
    <b v="0"/>
    <m/>
    <d v="1899-12-30T00:00:00"/>
  </r>
  <r>
    <n v="187688"/>
    <s v="Item on File"/>
    <s v="00000P0003000185354"/>
    <s v=""/>
    <s v="113996"/>
    <x v="20"/>
    <s v="T0004014"/>
    <s v="Mamalu Kitchen"/>
    <s v="100465610200003"/>
    <d v="2025-12-04T00:00:00"/>
    <n v="-2"/>
    <n v="225"/>
    <n v="-428.57"/>
    <n v="0"/>
    <n v="-21.43"/>
    <s v="P0003"/>
    <s v="910910"/>
    <s v=""/>
    <d v="1899-12-30T13:32:13"/>
    <n v="0"/>
    <n v="0"/>
    <n v="0"/>
    <b v="0"/>
    <b v="0"/>
    <b v="0"/>
    <b v="0"/>
    <s v="HEAD"/>
    <b v="1"/>
    <b v="0"/>
    <d v="2025-12-17T00:00:00"/>
    <d v="1899-12-30T16:30:00"/>
  </r>
  <r>
    <n v="187690"/>
    <s v="Item on File"/>
    <s v="00000P0003000185356"/>
    <s v=""/>
    <s v="113996"/>
    <x v="20"/>
    <s v="T0004014"/>
    <s v="Mamalu Kitchen"/>
    <s v="100465610200003"/>
    <d v="2025-12-04T00:00:00"/>
    <n v="-3"/>
    <n v="225"/>
    <n v="-642.86"/>
    <n v="0"/>
    <n v="-32.14"/>
    <s v="P0003"/>
    <s v="910910"/>
    <s v=""/>
    <d v="1899-12-30T13:35:11"/>
    <n v="0"/>
    <n v="0"/>
    <n v="0"/>
    <b v="0"/>
    <b v="0"/>
    <b v="0"/>
    <b v="0"/>
    <s v="HEAD"/>
    <b v="1"/>
    <b v="0"/>
    <d v="2025-12-17T00:00:00"/>
    <d v="1899-12-30T16:30:00"/>
  </r>
  <r>
    <n v="187691"/>
    <s v="Item on File"/>
    <s v="00000P0003000185357"/>
    <s v=""/>
    <s v="113996"/>
    <x v="20"/>
    <s v="T0004014"/>
    <s v="Mamalu Kitchen"/>
    <s v="100465610200003"/>
    <d v="2025-12-04T00:00:00"/>
    <n v="-2"/>
    <n v="225"/>
    <n v="-428.57"/>
    <n v="0"/>
    <n v="-21.43"/>
    <s v="P0003"/>
    <s v="910910"/>
    <s v=""/>
    <d v="1899-12-30T13:36:20"/>
    <n v="0"/>
    <n v="0"/>
    <n v="0"/>
    <b v="0"/>
    <b v="0"/>
    <b v="0"/>
    <b v="0"/>
    <s v="HEAD"/>
    <b v="1"/>
    <b v="0"/>
    <d v="2025-12-17T00:00:00"/>
    <d v="1899-12-30T16:30:00"/>
  </r>
  <r>
    <n v="187694"/>
    <s v="Item on File"/>
    <s v="00000P0003000185360"/>
    <s v=""/>
    <s v="104555"/>
    <x v="10"/>
    <s v="T0004014"/>
    <s v="Mamalu Kitchen"/>
    <s v="100465610200003"/>
    <d v="2025-12-04T00:00:00"/>
    <n v="-7"/>
    <n v="180"/>
    <n v="-1200"/>
    <n v="0"/>
    <n v="-60"/>
    <s v="P0003"/>
    <s v="910910"/>
    <s v=""/>
    <d v="1899-12-30T13:40:08"/>
    <n v="0"/>
    <n v="0"/>
    <n v="0"/>
    <b v="0"/>
    <b v="0"/>
    <b v="0"/>
    <b v="0"/>
    <s v="HEAD"/>
    <b v="1"/>
    <b v="0"/>
    <d v="2025-12-06T00:00:00"/>
    <d v="1899-12-30T16:00:00"/>
  </r>
  <r>
    <n v="187714"/>
    <s v="Item on File"/>
    <s v="00000P0003000185380"/>
    <s v=""/>
    <s v="103900"/>
    <x v="34"/>
    <s v="T0004014"/>
    <s v="Mamalu Kitchen"/>
    <s v="100465610200003"/>
    <d v="2025-12-04T00:00:00"/>
    <n v="-11"/>
    <n v="450"/>
    <n v="-4714.29"/>
    <n v="0"/>
    <n v="-235.71"/>
    <s v="P0003"/>
    <s v="910910"/>
    <s v=""/>
    <d v="1899-12-30T15:45:56"/>
    <n v="0"/>
    <n v="0"/>
    <n v="0"/>
    <b v="0"/>
    <b v="0"/>
    <b v="0"/>
    <b v="0"/>
    <s v="HEAD"/>
    <b v="1"/>
    <b v="0"/>
    <d v="2025-12-18T00:00:00"/>
    <d v="1899-12-30T18:00:00"/>
  </r>
  <r>
    <n v="187715"/>
    <s v="Item on File"/>
    <s v="00000P0003000185381"/>
    <s v=""/>
    <s v="111611"/>
    <x v="6"/>
    <s v="T0004014"/>
    <s v="Mamalu Kitchen"/>
    <s v="100465610200003"/>
    <d v="2025-12-04T00:00:00"/>
    <n v="-2"/>
    <n v="275"/>
    <n v="-523.80999999999995"/>
    <n v="0"/>
    <n v="-26.19"/>
    <s v="P0003"/>
    <s v="910910"/>
    <s v=""/>
    <d v="1899-12-30T15:48:17"/>
    <n v="0"/>
    <n v="0"/>
    <n v="0"/>
    <b v="0"/>
    <b v="0"/>
    <b v="0"/>
    <b v="0"/>
    <s v="HEAD"/>
    <b v="1"/>
    <b v="0"/>
    <d v="2025-12-07T00:00:00"/>
    <d v="1899-12-30T13:00:00"/>
  </r>
  <r>
    <n v="187730"/>
    <s v="Item on File"/>
    <s v="00000P0003000185396"/>
    <s v="6295624870014"/>
    <s v="104647"/>
    <x v="35"/>
    <s v="T0004014"/>
    <s v="Mamalu Kitchen"/>
    <s v="100465610200003"/>
    <d v="2025-12-04T00:00:00"/>
    <n v="-1"/>
    <n v="55"/>
    <n v="-52.38"/>
    <n v="0"/>
    <n v="-2.62"/>
    <s v="P0003"/>
    <s v="910910"/>
    <s v=""/>
    <d v="1899-12-30T17:06:26"/>
    <n v="0"/>
    <n v="0"/>
    <n v="0"/>
    <b v="0"/>
    <b v="0"/>
    <b v="0"/>
    <b v="0"/>
    <s v="PCS"/>
    <b v="1"/>
    <b v="0"/>
    <m/>
    <d v="1899-12-30T00:00:00"/>
  </r>
  <r>
    <n v="187736"/>
    <s v="Item on File"/>
    <s v="00000P0003000185402"/>
    <s v=""/>
    <s v="103115"/>
    <x v="1"/>
    <s v="T0004014"/>
    <s v="Mamalu Kitchen"/>
    <s v="100465610200003"/>
    <d v="2025-12-04T00:00:00"/>
    <n v="-1"/>
    <n v="200"/>
    <n v="-190.48"/>
    <n v="0"/>
    <n v="-9.52"/>
    <s v="P0003"/>
    <s v="910910"/>
    <s v=""/>
    <d v="1899-12-30T17:34:03"/>
    <n v="0"/>
    <n v="0"/>
    <n v="0"/>
    <b v="0"/>
    <b v="0"/>
    <b v="0"/>
    <b v="0"/>
    <s v="HEAD"/>
    <b v="1"/>
    <b v="0"/>
    <m/>
    <d v="1899-12-30T00:00:00"/>
  </r>
  <r>
    <n v="187740"/>
    <s v="Item on File"/>
    <s v="00000P0003000185404"/>
    <s v=""/>
    <s v="113996"/>
    <x v="20"/>
    <s v="T0004014"/>
    <s v="Mamalu Kitchen"/>
    <s v="100465610200003"/>
    <d v="2025-12-04T00:00:00"/>
    <n v="-2"/>
    <n v="225"/>
    <n v="-428.57"/>
    <n v="0"/>
    <n v="-21.43"/>
    <s v="P0003"/>
    <s v="910910"/>
    <s v=""/>
    <d v="1899-12-30T17:38:21"/>
    <n v="0"/>
    <n v="0"/>
    <n v="0"/>
    <b v="0"/>
    <b v="0"/>
    <b v="0"/>
    <b v="0"/>
    <s v="HEAD"/>
    <b v="1"/>
    <b v="0"/>
    <d v="2025-12-17T00:00:00"/>
    <d v="1899-12-30T16:30:00"/>
  </r>
  <r>
    <n v="187742"/>
    <s v="Item on File"/>
    <s v="00000P0003000185408"/>
    <s v=""/>
    <s v="113996"/>
    <x v="20"/>
    <s v="T0004014"/>
    <s v="Mamalu Kitchen"/>
    <s v="100465610200003"/>
    <d v="2025-12-04T00:00:00"/>
    <n v="-1"/>
    <n v="225"/>
    <n v="-214.29"/>
    <n v="0"/>
    <n v="-10.71"/>
    <s v="P0003"/>
    <s v="910910"/>
    <s v=""/>
    <d v="1899-12-30T17:39:44"/>
    <n v="0"/>
    <n v="0"/>
    <n v="0"/>
    <b v="0"/>
    <b v="0"/>
    <b v="0"/>
    <b v="0"/>
    <s v="HEAD"/>
    <b v="1"/>
    <b v="0"/>
    <d v="2025-12-17T00:00:00"/>
    <d v="1899-12-30T16:30:00"/>
  </r>
  <r>
    <n v="187821"/>
    <s v="Item on File"/>
    <s v="00000P0003000185490"/>
    <s v=""/>
    <s v="111611"/>
    <x v="6"/>
    <s v="T0004014"/>
    <s v="Mamalu Kitchen"/>
    <s v="100465610200003"/>
    <d v="2025-12-06T00:00:00"/>
    <n v="-2"/>
    <n v="275"/>
    <n v="-523.80999999999995"/>
    <n v="0"/>
    <n v="-26.19"/>
    <s v="P0003"/>
    <s v="324051"/>
    <s v=""/>
    <d v="1899-12-30T12:24:41"/>
    <n v="0"/>
    <n v="0"/>
    <n v="0"/>
    <b v="0"/>
    <b v="0"/>
    <b v="0"/>
    <b v="0"/>
    <s v="HEAD"/>
    <b v="1"/>
    <b v="0"/>
    <d v="2025-12-07T00:00:00"/>
    <d v="1899-12-30T13:00:00"/>
  </r>
  <r>
    <n v="187822"/>
    <s v="Item on File"/>
    <s v="00000P0003000185491"/>
    <s v=""/>
    <s v="103900"/>
    <x v="34"/>
    <s v="T0004014"/>
    <s v="Mamalu Kitchen"/>
    <s v="100465610200003"/>
    <d v="2025-12-06T00:00:00"/>
    <n v="-11"/>
    <n v="450"/>
    <n v="-4714.29"/>
    <n v="0"/>
    <n v="-235.71"/>
    <s v="P0003"/>
    <s v="324051"/>
    <s v=""/>
    <d v="1899-12-30T12:25:53"/>
    <n v="0"/>
    <n v="0"/>
    <n v="0"/>
    <b v="0"/>
    <b v="0"/>
    <b v="0"/>
    <b v="0"/>
    <s v="HEAD"/>
    <b v="1"/>
    <b v="0"/>
    <d v="2025-12-08T00:00:00"/>
    <d v="1899-12-30T07:00:00"/>
  </r>
  <r>
    <n v="187823"/>
    <s v="Item on File"/>
    <s v="00000P0003000185492"/>
    <s v=""/>
    <s v="104540"/>
    <x v="11"/>
    <s v="T0004014"/>
    <s v="Mamalu Kitchen"/>
    <s v="100465610200003"/>
    <d v="2025-12-06T00:00:00"/>
    <n v="-1"/>
    <n v="1000"/>
    <n v="-952.38"/>
    <n v="0"/>
    <n v="-47.62"/>
    <s v="P0003"/>
    <s v="324051"/>
    <s v=""/>
    <d v="1899-12-30T12:26:53"/>
    <n v="0"/>
    <n v="0"/>
    <n v="0"/>
    <b v="0"/>
    <b v="0"/>
    <b v="0"/>
    <b v="0"/>
    <s v="HEAD"/>
    <b v="1"/>
    <b v="0"/>
    <d v="2025-12-08T00:00:00"/>
    <d v="1899-12-30T12:00:00"/>
  </r>
  <r>
    <n v="187841"/>
    <s v="Item on File"/>
    <s v="00000P0003000185510"/>
    <s v="808004108691"/>
    <s v="108691"/>
    <x v="36"/>
    <s v="T0004014"/>
    <s v="Mamalu Kitchen"/>
    <s v="100465610200003"/>
    <d v="2025-12-06T00:00:00"/>
    <n v="-1"/>
    <n v="28"/>
    <n v="-26.67"/>
    <n v="0"/>
    <n v="-1.33"/>
    <s v="P0003"/>
    <s v="322331"/>
    <s v=""/>
    <d v="1899-12-30T13:22:01"/>
    <n v="0"/>
    <n v="0"/>
    <n v="0"/>
    <b v="0"/>
    <b v="0"/>
    <b v="0"/>
    <b v="0"/>
    <s v="PCS"/>
    <b v="1"/>
    <b v="0"/>
    <m/>
    <d v="1899-12-30T00:00:00"/>
  </r>
  <r>
    <n v="187841"/>
    <s v="Item on File"/>
    <s v="00000P0003000185510"/>
    <s v="6295624870045"/>
    <s v="104649"/>
    <x v="37"/>
    <s v="T0004014"/>
    <s v="Mamalu Kitchen"/>
    <s v="100465610200003"/>
    <d v="2025-12-06T00:00:00"/>
    <n v="-1"/>
    <n v="55"/>
    <n v="-52.38"/>
    <n v="0"/>
    <n v="-2.62"/>
    <s v="P0003"/>
    <s v="322331"/>
    <s v=""/>
    <d v="1899-12-30T13:22:01"/>
    <n v="0"/>
    <n v="0"/>
    <n v="0"/>
    <b v="0"/>
    <b v="0"/>
    <b v="0"/>
    <b v="0"/>
    <s v="PCS"/>
    <b v="1"/>
    <b v="0"/>
    <m/>
    <d v="1899-12-30T00:00:00"/>
  </r>
  <r>
    <n v="187870"/>
    <s v="Item on File"/>
    <s v="00000P0003000185537"/>
    <s v=""/>
    <s v="104880"/>
    <x v="8"/>
    <s v="T0004014"/>
    <s v="Mamalu Kitchen"/>
    <s v="100465610200003"/>
    <d v="2025-12-06T00:00:00"/>
    <n v="-12"/>
    <n v="225"/>
    <n v="-2571.4299999999998"/>
    <n v="0"/>
    <n v="-128.57"/>
    <s v="P0003"/>
    <s v="321731"/>
    <s v=""/>
    <d v="1899-12-30T15:11:05"/>
    <n v="0"/>
    <n v="0"/>
    <n v="0"/>
    <b v="0"/>
    <b v="0"/>
    <b v="0"/>
    <b v="0"/>
    <s v="HEAD"/>
    <b v="1"/>
    <b v="0"/>
    <d v="2025-12-06T00:00:00"/>
    <d v="1899-12-30T13:00:00"/>
  </r>
  <r>
    <n v="187870"/>
    <s v="Item on File"/>
    <s v="00000P0003000185537"/>
    <s v=""/>
    <s v="107717"/>
    <x v="24"/>
    <s v="T0004014"/>
    <s v="Mamalu Kitchen"/>
    <s v="100465610200003"/>
    <d v="2025-12-06T00:00:00"/>
    <n v="-27"/>
    <n v="80"/>
    <n v="-2057.14"/>
    <n v="0"/>
    <n v="-102.86"/>
    <s v="P0003"/>
    <s v="321731"/>
    <s v=""/>
    <d v="1899-12-30T15:11:05"/>
    <n v="0"/>
    <n v="0"/>
    <n v="0"/>
    <b v="0"/>
    <b v="0"/>
    <b v="0"/>
    <b v="0"/>
    <s v="PCS"/>
    <b v="1"/>
    <b v="0"/>
    <m/>
    <d v="1899-12-30T00:00:00"/>
  </r>
  <r>
    <n v="187870"/>
    <s v="Item on File"/>
    <s v="00000P0003000185537"/>
    <s v=""/>
    <s v="107830"/>
    <x v="5"/>
    <s v="T0004014"/>
    <s v="Mamalu Kitchen"/>
    <s v="100465610200003"/>
    <d v="2025-12-06T00:00:00"/>
    <n v="-1"/>
    <n v="15"/>
    <n v="-14.29"/>
    <n v="0"/>
    <n v="-0.71"/>
    <s v="P0003"/>
    <s v="321731"/>
    <s v=""/>
    <d v="1899-12-30T15:11:05"/>
    <n v="0"/>
    <n v="0"/>
    <n v="0"/>
    <b v="0"/>
    <b v="0"/>
    <b v="0"/>
    <b v="0"/>
    <s v="PCS"/>
    <b v="1"/>
    <b v="0"/>
    <m/>
    <d v="1899-12-30T00:00:00"/>
  </r>
  <r>
    <n v="187928"/>
    <s v="Item on File"/>
    <s v="00000P0003000185589"/>
    <s v=""/>
    <s v="103011"/>
    <x v="2"/>
    <s v="T0004014"/>
    <s v="Mamalu Kitchen"/>
    <s v="100465610200003"/>
    <d v="2025-12-06T00:00:00"/>
    <n v="-13"/>
    <n v="250"/>
    <n v="-3095.24"/>
    <n v="0"/>
    <n v="-154.76"/>
    <s v="P0003"/>
    <s v="321731"/>
    <s v=""/>
    <d v="1899-12-30T18:11:21"/>
    <n v="0"/>
    <n v="0"/>
    <n v="0"/>
    <b v="0"/>
    <b v="0"/>
    <b v="0"/>
    <b v="0"/>
    <s v="HEAD"/>
    <b v="1"/>
    <b v="0"/>
    <d v="2025-12-06T00:00:00"/>
    <d v="1899-12-30T17:00:00"/>
  </r>
  <r>
    <n v="187929"/>
    <s v="Item on File"/>
    <s v="00000P0003000185590"/>
    <s v=""/>
    <s v="104540"/>
    <x v="11"/>
    <s v="T0004014"/>
    <s v="Mamalu Kitchen"/>
    <s v="100465610200003"/>
    <d v="2025-12-06T00:00:00"/>
    <n v="-1"/>
    <n v="1000"/>
    <n v="-952.38"/>
    <n v="0"/>
    <n v="-47.62"/>
    <s v="P0003"/>
    <s v="321731"/>
    <s v=""/>
    <d v="1899-12-30T18:12:16"/>
    <n v="0"/>
    <n v="0"/>
    <n v="0"/>
    <b v="0"/>
    <b v="0"/>
    <b v="0"/>
    <b v="0"/>
    <s v="HEAD"/>
    <b v="1"/>
    <b v="0"/>
    <d v="2025-12-08T00:00:00"/>
    <d v="1899-12-30T12:00:00"/>
  </r>
  <r>
    <n v="187931"/>
    <s v="Item on File"/>
    <s v="00000P0003000185592"/>
    <s v=""/>
    <s v="104540"/>
    <x v="11"/>
    <s v="T0004014"/>
    <s v="Mamalu Kitchen"/>
    <s v="100465610200003"/>
    <d v="2025-12-06T00:00:00"/>
    <n v="-2"/>
    <n v="1000"/>
    <n v="-1904.76"/>
    <n v="0"/>
    <n v="-95.24"/>
    <s v="P0003"/>
    <s v="321731"/>
    <s v=""/>
    <d v="1899-12-30T18:13:53"/>
    <n v="0"/>
    <n v="0"/>
    <n v="0"/>
    <b v="0"/>
    <b v="0"/>
    <b v="0"/>
    <b v="0"/>
    <s v="HEAD"/>
    <b v="1"/>
    <b v="0"/>
    <d v="2025-12-08T00:00:00"/>
    <d v="1899-12-30T12:00:00"/>
  </r>
  <r>
    <n v="187933"/>
    <s v="Item on File"/>
    <s v="00000P0003000185593"/>
    <s v=""/>
    <s v="105592"/>
    <x v="38"/>
    <s v="T0004014"/>
    <s v="Mamalu Kitchen"/>
    <s v="100465610200003"/>
    <d v="2025-12-06T00:00:00"/>
    <n v="-3"/>
    <n v="400"/>
    <n v="-1142.8599999999999"/>
    <n v="0"/>
    <n v="-57.14"/>
    <s v="P0003"/>
    <s v="321731"/>
    <s v=""/>
    <d v="1899-12-30T18:15:54"/>
    <n v="0"/>
    <n v="0"/>
    <n v="0"/>
    <b v="0"/>
    <b v="0"/>
    <b v="0"/>
    <b v="0"/>
    <s v="HEAD"/>
    <b v="1"/>
    <b v="0"/>
    <d v="2025-12-14T00:00:00"/>
    <d v="1899-12-30T13:00:00"/>
  </r>
  <r>
    <n v="187934"/>
    <s v="Item on File"/>
    <s v="00000P0003000185594"/>
    <s v=""/>
    <s v="105043"/>
    <x v="12"/>
    <s v="T0004014"/>
    <s v="Mamalu Kitchen"/>
    <s v="100465610200003"/>
    <d v="2025-12-06T00:00:00"/>
    <n v="-4"/>
    <n v="250"/>
    <n v="-952.38"/>
    <n v="0"/>
    <n v="-47.62"/>
    <s v="P0003"/>
    <s v="321731"/>
    <s v=""/>
    <d v="1899-12-30T18:17:02"/>
    <n v="0"/>
    <n v="0"/>
    <n v="0"/>
    <b v="0"/>
    <b v="0"/>
    <b v="0"/>
    <b v="0"/>
    <s v="HEAD"/>
    <b v="1"/>
    <b v="0"/>
    <d v="2025-12-11T00:00:00"/>
    <d v="1899-12-30T16:00:00"/>
  </r>
  <r>
    <n v="187935"/>
    <s v="Item on File"/>
    <s v="00000P0003000185595"/>
    <s v=""/>
    <s v="111611"/>
    <x v="6"/>
    <s v="T0004014"/>
    <s v="Mamalu Kitchen"/>
    <s v="100465610200003"/>
    <d v="2025-12-06T00:00:00"/>
    <n v="-1"/>
    <n v="275"/>
    <n v="-261.89999999999998"/>
    <n v="0"/>
    <n v="-13.1"/>
    <s v="P0003"/>
    <s v="321731"/>
    <s v=""/>
    <d v="1899-12-30T18:17:49"/>
    <n v="0"/>
    <n v="0"/>
    <n v="0"/>
    <b v="0"/>
    <b v="0"/>
    <b v="0"/>
    <b v="0"/>
    <s v="HEAD"/>
    <b v="1"/>
    <b v="0"/>
    <d v="2025-12-07T00:00:00"/>
    <d v="1899-12-30T13:00:00"/>
  </r>
  <r>
    <n v="187936"/>
    <s v="Item on File"/>
    <s v="00000P0003000185596"/>
    <s v=""/>
    <s v="104540"/>
    <x v="11"/>
    <s v="T0004014"/>
    <s v="Mamalu Kitchen"/>
    <s v="100465610200003"/>
    <d v="2025-12-06T00:00:00"/>
    <n v="-1"/>
    <n v="1000"/>
    <n v="-857.15"/>
    <n v="100"/>
    <n v="-42.85"/>
    <s v="P0003"/>
    <s v="321731"/>
    <s v=""/>
    <d v="1899-12-30T18:18:59"/>
    <n v="0"/>
    <n v="100"/>
    <n v="0"/>
    <b v="0"/>
    <b v="1"/>
    <b v="0"/>
    <b v="0"/>
    <s v="HEAD"/>
    <b v="1"/>
    <b v="0"/>
    <d v="2025-12-08T00:00:00"/>
    <d v="1899-12-30T12:00:00"/>
  </r>
  <r>
    <n v="188028"/>
    <s v="Item on File"/>
    <s v="00000P0003000185699"/>
    <s v="2002389000000"/>
    <s v="102389"/>
    <x v="39"/>
    <s v="T0004014"/>
    <s v="Mamalu Kitchen"/>
    <s v="100465610200003"/>
    <d v="2025-12-08T00:00:00"/>
    <n v="-2"/>
    <n v="85"/>
    <n v="-161.91"/>
    <n v="0"/>
    <n v="-8.09"/>
    <s v="P0003"/>
    <s v="910910"/>
    <s v=""/>
    <d v="1899-12-30T13:48:53"/>
    <n v="0"/>
    <n v="0"/>
    <n v="0"/>
    <b v="0"/>
    <b v="0"/>
    <b v="0"/>
    <b v="0"/>
    <s v="PCS"/>
    <b v="1"/>
    <b v="0"/>
    <m/>
    <d v="1899-12-30T00:00:00"/>
  </r>
  <r>
    <n v="188069"/>
    <s v="Item on File"/>
    <s v="00000P0003000185742"/>
    <s v=""/>
    <s v="105043"/>
    <x v="12"/>
    <s v="T0004014"/>
    <s v="Mamalu Kitchen"/>
    <s v="100465610200003"/>
    <d v="2025-12-08T00:00:00"/>
    <n v="-2"/>
    <n v="250"/>
    <n v="-476.19"/>
    <n v="0"/>
    <n v="-23.81"/>
    <s v="P0003"/>
    <s v="910910"/>
    <s v=""/>
    <d v="1899-12-30T17:18:06"/>
    <n v="0"/>
    <n v="0"/>
    <n v="0"/>
    <b v="0"/>
    <b v="0"/>
    <b v="0"/>
    <b v="0"/>
    <s v="HEAD"/>
    <b v="1"/>
    <b v="0"/>
    <d v="2025-12-11T00:00:00"/>
    <d v="1899-12-30T16:00:00"/>
  </r>
  <r>
    <n v="188070"/>
    <s v="Item on File"/>
    <s v="00000P0003000185743"/>
    <s v=""/>
    <s v="104540"/>
    <x v="11"/>
    <s v="T0004014"/>
    <s v="Mamalu Kitchen"/>
    <s v="100465610200003"/>
    <d v="2025-12-08T00:00:00"/>
    <n v="-1"/>
    <n v="1000"/>
    <n v="-952.38"/>
    <n v="0"/>
    <n v="-47.62"/>
    <s v="P0003"/>
    <s v="910910"/>
    <s v=""/>
    <d v="1899-12-30T17:19:56"/>
    <n v="0"/>
    <n v="0"/>
    <n v="0"/>
    <b v="0"/>
    <b v="0"/>
    <b v="0"/>
    <b v="0"/>
    <s v="HEAD"/>
    <b v="1"/>
    <b v="0"/>
    <d v="2025-12-08T00:00:00"/>
    <d v="1899-12-30T12:30:00"/>
  </r>
  <r>
    <n v="188073"/>
    <s v="Item on File"/>
    <s v="00000P0003000185746"/>
    <s v=""/>
    <s v="104540"/>
    <x v="11"/>
    <s v="T0004014"/>
    <s v="Mamalu Kitchen"/>
    <s v="100465610200003"/>
    <d v="2025-12-08T00:00:00"/>
    <n v="-1"/>
    <n v="1000"/>
    <n v="-952.38"/>
    <n v="0"/>
    <n v="-47.62"/>
    <s v="P0003"/>
    <s v="910910"/>
    <s v=""/>
    <d v="1899-12-30T17:22:09"/>
    <n v="0"/>
    <n v="0"/>
    <n v="0"/>
    <b v="0"/>
    <b v="0"/>
    <b v="0"/>
    <b v="0"/>
    <s v="HEAD"/>
    <b v="1"/>
    <b v="0"/>
    <d v="2025-12-08T00:00:00"/>
    <d v="1899-12-30T12:30:00"/>
  </r>
  <r>
    <n v="188195"/>
    <s v="Item on File"/>
    <s v="00000P0002000201890"/>
    <s v=""/>
    <s v="103115"/>
    <x v="1"/>
    <s v="T0004014"/>
    <s v="Mamalu Kitchen"/>
    <s v="100465610200003"/>
    <d v="2025-12-10T00:00:00"/>
    <n v="-2"/>
    <n v="650"/>
    <n v="-1238.0899999999999"/>
    <n v="0"/>
    <n v="-61.91"/>
    <s v="P0003"/>
    <s v="324051"/>
    <s v=""/>
    <d v="1899-12-30T16:25:46"/>
    <n v="0"/>
    <n v="0"/>
    <n v="0"/>
    <b v="0"/>
    <b v="0"/>
    <b v="0"/>
    <b v="0"/>
    <s v="HEAD"/>
    <b v="1"/>
    <b v="0"/>
    <m/>
    <d v="1899-12-30T00:00:00"/>
  </r>
  <r>
    <n v="188218"/>
    <s v="Item on File"/>
    <s v="00000P0003000185888"/>
    <s v=""/>
    <s v="103012"/>
    <x v="4"/>
    <s v="T0004014"/>
    <s v="Mamalu Kitchen"/>
    <s v="100465610200003"/>
    <d v="2025-12-10T00:00:00"/>
    <n v="-1"/>
    <n v="4200"/>
    <n v="-4000"/>
    <n v="0"/>
    <n v="-200"/>
    <s v="P0003"/>
    <s v="324051"/>
    <s v=""/>
    <d v="1899-12-30T18:28:35"/>
    <n v="0"/>
    <n v="0"/>
    <n v="0"/>
    <b v="0"/>
    <b v="0"/>
    <b v="0"/>
    <b v="0"/>
    <s v="HEAD"/>
    <b v="1"/>
    <b v="0"/>
    <d v="2025-12-09T00:00:00"/>
    <d v="1899-12-30T02:00:00"/>
  </r>
  <r>
    <n v="188220"/>
    <s v="Item on File"/>
    <s v="00000P0003000185890"/>
    <s v=""/>
    <s v="111611"/>
    <x v="6"/>
    <s v="T0004014"/>
    <s v="Mamalu Kitchen"/>
    <s v="100465610200003"/>
    <d v="2025-12-10T00:00:00"/>
    <n v="-1"/>
    <n v="275"/>
    <n v="-261.89999999999998"/>
    <n v="0"/>
    <n v="-13.1"/>
    <s v="P0003"/>
    <s v="324051"/>
    <s v=""/>
    <d v="1899-12-30T18:30:06"/>
    <n v="0"/>
    <n v="0"/>
    <n v="0"/>
    <b v="0"/>
    <b v="0"/>
    <b v="0"/>
    <b v="0"/>
    <s v="HEAD"/>
    <b v="1"/>
    <b v="0"/>
    <d v="2025-12-10T00:00:00"/>
    <d v="1899-12-30T13:00:00"/>
  </r>
  <r>
    <n v="188221"/>
    <s v="Item on File"/>
    <s v="00000P0003000185891"/>
    <s v=""/>
    <s v="113995"/>
    <x v="40"/>
    <s v="T0004014"/>
    <s v="Mamalu Kitchen"/>
    <s v="100465610200003"/>
    <d v="2025-12-10T00:00:00"/>
    <n v="-2"/>
    <n v="500"/>
    <n v="-952.38"/>
    <n v="0"/>
    <n v="-47.62"/>
    <s v="P0003"/>
    <s v="324051"/>
    <s v=""/>
    <d v="1899-12-30T18:31:12"/>
    <n v="0"/>
    <n v="0"/>
    <n v="0"/>
    <b v="0"/>
    <b v="0"/>
    <b v="0"/>
    <b v="0"/>
    <s v="HEAD"/>
    <b v="1"/>
    <b v="0"/>
    <d v="2025-12-10T00:00:00"/>
    <d v="1899-12-30T06:00:00"/>
  </r>
  <r>
    <n v="188269"/>
    <s v="Item on File"/>
    <s v="00000P0003000185946"/>
    <s v=""/>
    <s v="103011"/>
    <x v="2"/>
    <s v="T0004014"/>
    <s v="Mamalu Kitchen"/>
    <s v="100465610200003"/>
    <d v="2025-12-12T00:00:00"/>
    <n v="-1"/>
    <n v="250"/>
    <n v="-238.09"/>
    <n v="0"/>
    <n v="-11.91"/>
    <s v="P0003"/>
    <s v="322182"/>
    <s v=""/>
    <d v="1899-12-30T09:52:11"/>
    <n v="0"/>
    <n v="0"/>
    <n v="0"/>
    <b v="0"/>
    <b v="0"/>
    <b v="0"/>
    <b v="0"/>
    <s v="HEAD"/>
    <b v="1"/>
    <b v="0"/>
    <d v="2025-12-12T00:00:00"/>
    <d v="1899-12-30T12:30:00"/>
  </r>
  <r>
    <n v="188298"/>
    <s v="Item on File"/>
    <s v="00000P0003000185974"/>
    <s v=""/>
    <s v="103115"/>
    <x v="1"/>
    <s v="T0004014"/>
    <s v="Mamalu Kitchen"/>
    <s v="100465610200003"/>
    <d v="2025-12-12T00:00:00"/>
    <n v="-1"/>
    <n v="550"/>
    <n v="-523.80999999999995"/>
    <n v="0"/>
    <n v="-26.19"/>
    <s v="P0003"/>
    <s v="322331"/>
    <s v=""/>
    <d v="1899-12-30T12:59:05"/>
    <n v="0"/>
    <n v="0"/>
    <n v="0"/>
    <b v="0"/>
    <b v="0"/>
    <b v="0"/>
    <b v="0"/>
    <s v="HEAD"/>
    <b v="1"/>
    <b v="0"/>
    <m/>
    <d v="1899-12-30T00:00:00"/>
  </r>
  <r>
    <n v="188300"/>
    <s v="Item on File"/>
    <s v="00000P0003000185976"/>
    <s v=""/>
    <s v="103115"/>
    <x v="1"/>
    <s v="T0004014"/>
    <s v="Mamalu Kitchen"/>
    <s v="100465610200003"/>
    <d v="2025-12-12T00:00:00"/>
    <n v="-1"/>
    <n v="100"/>
    <n v="-95.24"/>
    <n v="0"/>
    <n v="-4.76"/>
    <s v="P0003"/>
    <s v="322331"/>
    <s v=""/>
    <d v="1899-12-30T13:06:44"/>
    <n v="0"/>
    <n v="0"/>
    <n v="0"/>
    <b v="0"/>
    <b v="0"/>
    <b v="0"/>
    <b v="0"/>
    <s v="HEAD"/>
    <b v="1"/>
    <b v="0"/>
    <m/>
    <d v="1899-12-30T00:00:00"/>
  </r>
  <r>
    <n v="188322"/>
    <s v="Item on File"/>
    <s v="00000P0003000185998"/>
    <s v="6295624870014"/>
    <s v="104647"/>
    <x v="35"/>
    <s v="T0004014"/>
    <s v="Mamalu Kitchen"/>
    <s v="100465610200003"/>
    <d v="2025-12-12T00:00:00"/>
    <n v="-1"/>
    <n v="55"/>
    <n v="-52.38"/>
    <n v="0"/>
    <n v="-2.62"/>
    <s v="P0003"/>
    <s v="324051"/>
    <s v=""/>
    <d v="1899-12-30T14:38:49"/>
    <n v="0"/>
    <n v="0"/>
    <n v="0"/>
    <b v="0"/>
    <b v="0"/>
    <b v="0"/>
    <b v="0"/>
    <s v="PCS"/>
    <b v="1"/>
    <b v="0"/>
    <m/>
    <d v="1899-12-30T00:00:00"/>
  </r>
  <r>
    <n v="188360"/>
    <s v="Item on File"/>
    <s v="00000P0003000186030"/>
    <s v=""/>
    <s v="111612"/>
    <x v="41"/>
    <s v="T0004014"/>
    <s v="Mamalu Kitchen"/>
    <s v="100465610200003"/>
    <d v="2025-12-12T00:00:00"/>
    <n v="-2"/>
    <n v="475"/>
    <n v="-904.76"/>
    <n v="0"/>
    <n v="-45.24"/>
    <s v="P0003"/>
    <s v="910910"/>
    <s v=""/>
    <d v="1899-12-30T16:56:41"/>
    <n v="0"/>
    <n v="0"/>
    <n v="0"/>
    <b v="0"/>
    <b v="0"/>
    <b v="0"/>
    <b v="0"/>
    <s v="HEAD"/>
    <b v="1"/>
    <b v="0"/>
    <d v="2025-12-12T00:00:00"/>
    <d v="1899-12-30T18:30:00"/>
  </r>
  <r>
    <n v="188376"/>
    <s v="Item on File"/>
    <s v="00000P0003000186045"/>
    <s v=""/>
    <s v="111612"/>
    <x v="41"/>
    <s v="T0004014"/>
    <s v="Mamalu Kitchen"/>
    <s v="100465610200003"/>
    <d v="2025-12-12T00:00:00"/>
    <n v="-1"/>
    <n v="475"/>
    <n v="-452.38"/>
    <n v="0"/>
    <n v="-22.62"/>
    <s v="P0003"/>
    <s v="910910"/>
    <s v=""/>
    <d v="1899-12-30T17:49:04"/>
    <n v="0"/>
    <n v="0"/>
    <n v="0"/>
    <b v="0"/>
    <b v="0"/>
    <b v="0"/>
    <b v="0"/>
    <s v="HEAD"/>
    <b v="1"/>
    <b v="0"/>
    <d v="2025-12-12T00:00:00"/>
    <d v="1899-12-30T18:30:00"/>
  </r>
  <r>
    <n v="188541"/>
    <s v="Item on File"/>
    <s v="00000P0003000186213"/>
    <s v=""/>
    <s v="105043"/>
    <x v="12"/>
    <s v="T0004014"/>
    <s v="Mamalu Kitchen"/>
    <s v="100465610200003"/>
    <d v="2025-12-14T00:00:00"/>
    <n v="-2"/>
    <n v="250"/>
    <n v="-476.19"/>
    <n v="0"/>
    <n v="-23.81"/>
    <s v="P0003"/>
    <s v="322331"/>
    <s v=""/>
    <d v="1899-12-30T17:09:40"/>
    <n v="0"/>
    <n v="0"/>
    <n v="0"/>
    <b v="0"/>
    <b v="0"/>
    <b v="0"/>
    <b v="0"/>
    <s v="HEAD"/>
    <b v="1"/>
    <b v="0"/>
    <d v="2025-12-15T00:00:00"/>
    <d v="1899-12-30T12:30:00"/>
  </r>
  <r>
    <n v="188543"/>
    <s v="Item on File"/>
    <s v="00000P0003000186215"/>
    <s v=""/>
    <s v="105043"/>
    <x v="12"/>
    <s v="T0004014"/>
    <s v="Mamalu Kitchen"/>
    <s v="100465610200003"/>
    <d v="2025-12-14T00:00:00"/>
    <n v="-1"/>
    <n v="250"/>
    <n v="-238.09"/>
    <n v="0"/>
    <n v="-11.91"/>
    <s v="P0003"/>
    <s v="322331"/>
    <s v=""/>
    <d v="1899-12-30T17:11:40"/>
    <n v="0"/>
    <n v="0"/>
    <n v="0"/>
    <b v="0"/>
    <b v="0"/>
    <b v="0"/>
    <b v="0"/>
    <s v="HEAD"/>
    <b v="1"/>
    <b v="0"/>
    <d v="2025-12-15T00:00:00"/>
    <d v="1899-12-30T12:30:00"/>
  </r>
  <r>
    <n v="188545"/>
    <s v="Item on File"/>
    <s v="00000P0003000186217"/>
    <s v=""/>
    <s v="104540"/>
    <x v="11"/>
    <s v="T0004014"/>
    <s v="Mamalu Kitchen"/>
    <s v="100465610200003"/>
    <d v="2025-12-14T00:00:00"/>
    <n v="-1"/>
    <n v="1000"/>
    <n v="-952.38"/>
    <n v="0"/>
    <n v="-47.62"/>
    <s v="P0003"/>
    <s v="322331"/>
    <s v=""/>
    <d v="1899-12-30T17:13:26"/>
    <n v="0"/>
    <n v="0"/>
    <n v="0"/>
    <b v="0"/>
    <b v="0"/>
    <b v="0"/>
    <b v="0"/>
    <s v="HEAD"/>
    <b v="1"/>
    <b v="0"/>
    <d v="2025-12-15T00:00:00"/>
    <d v="1899-12-30T12:30:00"/>
  </r>
  <r>
    <n v="188546"/>
    <s v="Item on File"/>
    <s v="00000P0003000186218"/>
    <s v=""/>
    <s v="102202"/>
    <x v="42"/>
    <s v="T0004014"/>
    <s v="Mamalu Kitchen"/>
    <s v="100465610200003"/>
    <d v="2025-12-14T00:00:00"/>
    <n v="-4"/>
    <n v="200"/>
    <n v="-761.9"/>
    <n v="0"/>
    <n v="-38.1"/>
    <s v="P0003"/>
    <s v="322331"/>
    <s v=""/>
    <d v="1899-12-30T17:14:30"/>
    <n v="0"/>
    <n v="0"/>
    <n v="0"/>
    <b v="0"/>
    <b v="0"/>
    <b v="0"/>
    <b v="0"/>
    <s v="HEAD"/>
    <b v="1"/>
    <b v="0"/>
    <d v="2025-12-18T00:00:00"/>
    <d v="1899-12-30T15:00:00"/>
  </r>
  <r>
    <n v="188547"/>
    <s v="Item on File"/>
    <s v="00000P0003000186219"/>
    <s v=""/>
    <s v="104555"/>
    <x v="10"/>
    <s v="T0004014"/>
    <s v="Mamalu Kitchen"/>
    <s v="100465610200003"/>
    <d v="2025-12-14T00:00:00"/>
    <n v="-4"/>
    <n v="180"/>
    <n v="-685.71"/>
    <n v="0"/>
    <n v="-34.29"/>
    <s v="P0003"/>
    <s v="322331"/>
    <s v=""/>
    <d v="1899-12-30T17:15:46"/>
    <n v="0"/>
    <n v="0"/>
    <n v="0"/>
    <b v="0"/>
    <b v="0"/>
    <b v="0"/>
    <b v="0"/>
    <s v="HEAD"/>
    <b v="1"/>
    <b v="0"/>
    <d v="2025-12-14T00:00:00"/>
    <d v="1899-12-30T20:00:00"/>
  </r>
  <r>
    <n v="188697"/>
    <s v="Item on File"/>
    <s v="00000P0003000186369"/>
    <s v=""/>
    <s v="113996"/>
    <x v="20"/>
    <s v="T0004014"/>
    <s v="Mamalu Kitchen"/>
    <s v="100465610200003"/>
    <d v="2025-12-16T00:00:00"/>
    <n v="-4"/>
    <n v="225"/>
    <n v="-857.14"/>
    <n v="0"/>
    <n v="-42.86"/>
    <s v="P0003"/>
    <s v="910910"/>
    <s v=""/>
    <d v="1899-12-30T18:11:07"/>
    <n v="0"/>
    <n v="0"/>
    <n v="0"/>
    <b v="0"/>
    <b v="0"/>
    <b v="0"/>
    <b v="0"/>
    <s v="HEAD"/>
    <b v="1"/>
    <b v="0"/>
    <d v="2025-12-16T00:00:00"/>
    <d v="1899-12-30T16:30:00"/>
  </r>
  <r>
    <n v="188698"/>
    <s v="Item on File"/>
    <s v="00000P0003000186370"/>
    <s v=""/>
    <s v="113996"/>
    <x v="20"/>
    <s v="T0004014"/>
    <s v="Mamalu Kitchen"/>
    <s v="100465610200003"/>
    <d v="2025-12-16T00:00:00"/>
    <n v="-1"/>
    <n v="225"/>
    <n v="-214.29"/>
    <n v="0"/>
    <n v="-10.71"/>
    <s v="P0003"/>
    <s v="910910"/>
    <s v=""/>
    <d v="1899-12-30T18:13:00"/>
    <n v="0"/>
    <n v="0"/>
    <n v="0"/>
    <b v="0"/>
    <b v="0"/>
    <b v="0"/>
    <b v="0"/>
    <s v="HEAD"/>
    <b v="1"/>
    <b v="0"/>
    <d v="2025-12-16T00:00:00"/>
    <d v="1899-12-30T16:30:00"/>
  </r>
  <r>
    <n v="188700"/>
    <s v="Item on File"/>
    <s v="00000P0003000186371"/>
    <s v=""/>
    <s v="113997"/>
    <x v="19"/>
    <s v="T0004014"/>
    <s v="Mamalu Kitchen"/>
    <s v="100465610200003"/>
    <d v="2025-12-16T00:00:00"/>
    <n v="-1"/>
    <n v="275"/>
    <n v="-261.89999999999998"/>
    <n v="0"/>
    <n v="-13.1"/>
    <s v="P0003"/>
    <s v="910910"/>
    <s v=""/>
    <d v="1899-12-30T18:14:51"/>
    <n v="0"/>
    <n v="0"/>
    <n v="0"/>
    <b v="0"/>
    <b v="0"/>
    <b v="0"/>
    <b v="0"/>
    <s v="HEAD"/>
    <b v="1"/>
    <b v="0"/>
    <d v="2025-12-16T00:00:00"/>
    <d v="1899-12-30T13:00:00"/>
  </r>
  <r>
    <n v="188701"/>
    <s v="Item on File"/>
    <s v="00000P0003000186373"/>
    <s v=""/>
    <s v="113997"/>
    <x v="19"/>
    <s v="T0004014"/>
    <s v="Mamalu Kitchen"/>
    <s v="100465610200003"/>
    <d v="2025-12-16T00:00:00"/>
    <n v="-1"/>
    <n v="275"/>
    <n v="-261.89999999999998"/>
    <n v="0"/>
    <n v="-13.1"/>
    <s v="P0003"/>
    <s v="910910"/>
    <s v=""/>
    <d v="1899-12-30T18:15:22"/>
    <n v="0"/>
    <n v="0"/>
    <n v="0"/>
    <b v="0"/>
    <b v="0"/>
    <b v="0"/>
    <b v="0"/>
    <s v="HEAD"/>
    <b v="1"/>
    <b v="0"/>
    <d v="2025-12-16T00:00:00"/>
    <d v="1899-12-30T13:00:00"/>
  </r>
  <r>
    <n v="188702"/>
    <s v="Item on File"/>
    <s v="00000P0003000186374"/>
    <s v=""/>
    <s v="105043"/>
    <x v="12"/>
    <s v="T0004014"/>
    <s v="Mamalu Kitchen"/>
    <s v="100465610200003"/>
    <d v="2025-12-16T00:00:00"/>
    <n v="-1"/>
    <n v="250"/>
    <n v="-238.09"/>
    <n v="0"/>
    <n v="-11.91"/>
    <s v="P0003"/>
    <s v="910910"/>
    <s v=""/>
    <d v="1899-12-30T18:16:22"/>
    <n v="0"/>
    <n v="0"/>
    <n v="0"/>
    <b v="0"/>
    <b v="0"/>
    <b v="0"/>
    <b v="0"/>
    <s v="HEAD"/>
    <b v="1"/>
    <b v="0"/>
    <d v="2025-12-17T00:00:00"/>
    <d v="1899-12-30T12:30:00"/>
  </r>
  <r>
    <n v="188704"/>
    <s v="Item on File"/>
    <s v="00000P0003000186376"/>
    <s v=""/>
    <s v="105043"/>
    <x v="12"/>
    <s v="T0004014"/>
    <s v="Mamalu Kitchen"/>
    <s v="100465610200003"/>
    <d v="2025-12-16T00:00:00"/>
    <n v="-1"/>
    <n v="250"/>
    <n v="-238.09"/>
    <n v="0"/>
    <n v="-11.91"/>
    <s v="P0003"/>
    <s v="910910"/>
    <s v=""/>
    <d v="1899-12-30T18:18:29"/>
    <n v="0"/>
    <n v="0"/>
    <n v="0"/>
    <b v="0"/>
    <b v="0"/>
    <b v="0"/>
    <b v="0"/>
    <s v="HEAD"/>
    <b v="1"/>
    <b v="0"/>
    <d v="2025-12-16T00:00:00"/>
    <d v="1899-12-30T12:30:00"/>
  </r>
  <r>
    <n v="188705"/>
    <s v="Item on File"/>
    <s v="00000P0003000186377"/>
    <s v=""/>
    <s v="105043"/>
    <x v="12"/>
    <s v="T0004014"/>
    <s v="Mamalu Kitchen"/>
    <s v="100465610200003"/>
    <d v="2025-12-16T00:00:00"/>
    <n v="-1"/>
    <n v="250"/>
    <n v="-238.09"/>
    <n v="0"/>
    <n v="-11.91"/>
    <s v="P0003"/>
    <s v="910910"/>
    <s v=""/>
    <d v="1899-12-30T18:19:47"/>
    <n v="0"/>
    <n v="0"/>
    <n v="0"/>
    <b v="0"/>
    <b v="0"/>
    <b v="0"/>
    <b v="0"/>
    <s v="HEAD"/>
    <b v="1"/>
    <b v="0"/>
    <d v="2025-12-16T00:00:00"/>
    <d v="1899-12-30T12:30:00"/>
  </r>
  <r>
    <n v="188708"/>
    <s v="Item on File"/>
    <s v="00000P0003000186380"/>
    <s v=""/>
    <s v="105043"/>
    <x v="12"/>
    <s v="T0004014"/>
    <s v="Mamalu Kitchen"/>
    <s v="100465610200003"/>
    <d v="2025-12-16T00:00:00"/>
    <n v="-1"/>
    <n v="250"/>
    <n v="-238.1"/>
    <n v="0"/>
    <n v="-11.9"/>
    <s v="P0003"/>
    <s v="910910"/>
    <s v=""/>
    <d v="1899-12-30T18:40:24"/>
    <n v="0"/>
    <n v="0"/>
    <n v="0"/>
    <b v="0"/>
    <b v="0"/>
    <b v="0"/>
    <b v="0"/>
    <s v="HEAD"/>
    <b v="1"/>
    <b v="0"/>
    <d v="2025-12-19T00:00:00"/>
    <d v="1899-12-30T12:30:00"/>
  </r>
  <r>
    <n v="188872"/>
    <s v="Item on File"/>
    <s v="00000P0003000186545"/>
    <s v=""/>
    <s v="105043"/>
    <x v="12"/>
    <s v="T0004014"/>
    <s v="Mamalu Kitchen"/>
    <s v="100465610200003"/>
    <d v="2025-12-18T00:00:00"/>
    <n v="-1"/>
    <n v="250"/>
    <n v="-238.09"/>
    <n v="0"/>
    <n v="-11.91"/>
    <s v="P0003"/>
    <s v="321731"/>
    <s v=""/>
    <d v="1899-12-30T18:46:11"/>
    <n v="0"/>
    <n v="0"/>
    <n v="0"/>
    <b v="0"/>
    <b v="0"/>
    <b v="0"/>
    <b v="0"/>
    <s v="HEAD"/>
    <b v="1"/>
    <b v="0"/>
    <d v="2025-12-17T00:00:00"/>
    <d v="1899-12-30T12:00:00"/>
  </r>
  <r>
    <n v="188873"/>
    <s v="Item on File"/>
    <s v="00000P0003000186546"/>
    <s v=""/>
    <s v="105043"/>
    <x v="12"/>
    <s v="T0004014"/>
    <s v="Mamalu Kitchen"/>
    <s v="100465610200003"/>
    <d v="2025-12-18T00:00:00"/>
    <n v="-1"/>
    <n v="250"/>
    <n v="-238.09"/>
    <n v="0"/>
    <n v="-11.91"/>
    <s v="P0003"/>
    <s v="321731"/>
    <s v=""/>
    <d v="1899-12-30T18:47:26"/>
    <n v="0"/>
    <n v="0"/>
    <n v="0"/>
    <b v="0"/>
    <b v="0"/>
    <b v="0"/>
    <b v="0"/>
    <s v="HEAD"/>
    <b v="1"/>
    <b v="0"/>
    <d v="2025-12-18T00:00:00"/>
    <d v="1899-12-30T12:00:00"/>
  </r>
  <r>
    <n v="188876"/>
    <s v="Item on File"/>
    <s v="00000P0003000186549"/>
    <s v=""/>
    <s v="114000"/>
    <x v="43"/>
    <s v="T0004014"/>
    <s v="Mamalu Kitchen"/>
    <s v="100465610200003"/>
    <d v="2025-12-18T00:00:00"/>
    <n v="-2"/>
    <n v="475"/>
    <n v="-904.76"/>
    <n v="0"/>
    <n v="-45.24"/>
    <s v="P0003"/>
    <s v="321731"/>
    <s v=""/>
    <d v="1899-12-30T18:49:45"/>
    <n v="0"/>
    <n v="0"/>
    <n v="0"/>
    <b v="0"/>
    <b v="0"/>
    <b v="0"/>
    <b v="0"/>
    <s v="HEAD"/>
    <b v="1"/>
    <b v="0"/>
    <d v="2025-12-26T00:00:00"/>
    <d v="1899-12-30T04:00:00"/>
  </r>
  <r>
    <n v="188877"/>
    <s v="Item on File"/>
    <s v="00000P0003000186550"/>
    <s v=""/>
    <s v="113997"/>
    <x v="19"/>
    <s v="T0004014"/>
    <s v="Mamalu Kitchen"/>
    <s v="100465610200003"/>
    <d v="2025-12-18T00:00:00"/>
    <n v="-1"/>
    <n v="275"/>
    <n v="-261.89999999999998"/>
    <n v="0"/>
    <n v="-13.1"/>
    <s v="P0003"/>
    <s v="321731"/>
    <s v=""/>
    <d v="1899-12-30T18:51:24"/>
    <n v="0"/>
    <n v="0"/>
    <n v="0"/>
    <b v="0"/>
    <b v="0"/>
    <b v="0"/>
    <b v="0"/>
    <s v="HEAD"/>
    <b v="1"/>
    <b v="0"/>
    <d v="2025-12-20T00:00:00"/>
    <d v="1899-12-30T12:00:00"/>
  </r>
  <r>
    <n v="188878"/>
    <s v="Item on File"/>
    <s v="00000P0003000186551"/>
    <s v=""/>
    <s v="113997"/>
    <x v="19"/>
    <s v="T0004014"/>
    <s v="Mamalu Kitchen"/>
    <s v="100465610200003"/>
    <d v="2025-12-18T00:00:00"/>
    <n v="-1"/>
    <n v="275"/>
    <n v="-261.89999999999998"/>
    <n v="0"/>
    <n v="-13.1"/>
    <s v="P0003"/>
    <s v="321731"/>
    <s v=""/>
    <d v="1899-12-30T18:52:17"/>
    <n v="0"/>
    <n v="0"/>
    <n v="0"/>
    <b v="0"/>
    <b v="0"/>
    <b v="0"/>
    <b v="0"/>
    <s v="HEAD"/>
    <b v="1"/>
    <b v="0"/>
    <d v="2025-12-20T00:00:00"/>
    <d v="1899-12-30T12:00:00"/>
  </r>
  <r>
    <n v="188884"/>
    <s v="Item on File"/>
    <s v="00000P0003000186556"/>
    <s v=""/>
    <s v="102206"/>
    <x v="44"/>
    <s v="T0004014"/>
    <s v="Mamalu Kitchen"/>
    <s v="100465610200003"/>
    <d v="2025-12-18T00:00:00"/>
    <n v="-2"/>
    <n v="200"/>
    <n v="-380.95"/>
    <n v="0"/>
    <n v="-19.05"/>
    <s v="P0003"/>
    <s v="324051"/>
    <s v=""/>
    <d v="1899-12-30T19:01:26"/>
    <n v="0"/>
    <n v="0"/>
    <n v="0"/>
    <b v="0"/>
    <b v="0"/>
    <b v="0"/>
    <b v="0"/>
    <s v="HEAD"/>
    <b v="1"/>
    <b v="0"/>
    <d v="2025-12-20T00:00:00"/>
    <d v="1899-12-30T16:00:00"/>
  </r>
  <r>
    <n v="188885"/>
    <s v="Item on File"/>
    <s v="00000P0003000186557"/>
    <s v=""/>
    <s v="111611"/>
    <x v="6"/>
    <s v="T0004014"/>
    <s v="Mamalu Kitchen"/>
    <s v="100465610200003"/>
    <d v="2025-12-18T00:00:00"/>
    <n v="-2"/>
    <n v="275"/>
    <n v="-523.80999999999995"/>
    <n v="0"/>
    <n v="-26.19"/>
    <s v="P0003"/>
    <s v="324051"/>
    <s v=""/>
    <d v="1899-12-30T19:02:51"/>
    <n v="0"/>
    <n v="0"/>
    <n v="0"/>
    <b v="0"/>
    <b v="0"/>
    <b v="0"/>
    <b v="0"/>
    <s v="HEAD"/>
    <b v="1"/>
    <b v="0"/>
    <d v="2025-12-22T00:00:00"/>
    <d v="1899-12-30T13:00:00"/>
  </r>
  <r>
    <n v="188949"/>
    <s v="Item on File"/>
    <s v="00000P0003000186624"/>
    <s v=""/>
    <s v="111611"/>
    <x v="6"/>
    <s v="T0004014"/>
    <s v="Mamalu Kitchen"/>
    <s v="100465610200003"/>
    <d v="2025-12-20T00:00:00"/>
    <n v="-2"/>
    <n v="275"/>
    <n v="-523.80999999999995"/>
    <n v="0"/>
    <n v="-26.19"/>
    <s v="P0003"/>
    <s v="322331"/>
    <s v=""/>
    <d v="1899-12-30T12:02:00"/>
    <n v="0"/>
    <n v="0"/>
    <n v="0"/>
    <b v="0"/>
    <b v="0"/>
    <b v="0"/>
    <b v="0"/>
    <s v="HEAD"/>
    <b v="1"/>
    <b v="0"/>
    <d v="2025-12-20T00:00:00"/>
    <d v="1899-12-30T13:00:00"/>
  </r>
  <r>
    <n v="188950"/>
    <s v="Item on File"/>
    <s v="00000P0003000186625"/>
    <s v=""/>
    <s v="111611"/>
    <x v="6"/>
    <s v="T0004014"/>
    <s v="Mamalu Kitchen"/>
    <s v="100465610200003"/>
    <d v="2025-12-20T00:00:00"/>
    <n v="-1"/>
    <n v="275"/>
    <n v="-261.89999999999998"/>
    <n v="0"/>
    <n v="-13.1"/>
    <s v="P0003"/>
    <s v="322331"/>
    <s v=""/>
    <d v="1899-12-30T12:03:21"/>
    <n v="0"/>
    <n v="0"/>
    <n v="0"/>
    <b v="0"/>
    <b v="0"/>
    <b v="0"/>
    <b v="0"/>
    <s v="HEAD"/>
    <b v="1"/>
    <b v="0"/>
    <d v="2025-12-20T00:00:00"/>
    <d v="1899-12-30T13:00:00"/>
  </r>
  <r>
    <n v="189054"/>
    <s v="Item on File"/>
    <s v="00000P0003000186728"/>
    <s v=""/>
    <s v="111611"/>
    <x v="6"/>
    <s v="T0004014"/>
    <s v="Mamalu Kitchen"/>
    <s v="100465610200003"/>
    <d v="2025-12-20T00:00:00"/>
    <n v="-1"/>
    <n v="275"/>
    <n v="-261.89999999999998"/>
    <n v="0"/>
    <n v="-13.1"/>
    <s v="P0003"/>
    <s v="910910"/>
    <s v=""/>
    <d v="1899-12-30T18:15:38"/>
    <n v="0"/>
    <n v="0"/>
    <n v="0"/>
    <b v="0"/>
    <b v="0"/>
    <b v="0"/>
    <b v="0"/>
    <s v="HEAD"/>
    <b v="1"/>
    <b v="0"/>
    <d v="2025-12-20T00:00:00"/>
    <d v="1899-12-30T13:00:00"/>
  </r>
  <r>
    <n v="189055"/>
    <s v="Item on File"/>
    <s v="00000P0003000186729"/>
    <s v=""/>
    <s v="111611"/>
    <x v="6"/>
    <s v="T0004014"/>
    <s v="Mamalu Kitchen"/>
    <s v="100465610200003"/>
    <d v="2025-12-20T00:00:00"/>
    <n v="-1"/>
    <n v="275"/>
    <n v="-261.89999999999998"/>
    <n v="0"/>
    <n v="-13.1"/>
    <s v="P0003"/>
    <s v="910910"/>
    <s v=""/>
    <d v="1899-12-30T18:17:24"/>
    <n v="0"/>
    <n v="0"/>
    <n v="0"/>
    <b v="0"/>
    <b v="0"/>
    <b v="0"/>
    <b v="0"/>
    <s v="HEAD"/>
    <b v="1"/>
    <b v="0"/>
    <d v="2025-12-20T00:00:00"/>
    <d v="1899-12-30T13:00:00"/>
  </r>
  <r>
    <n v="189057"/>
    <s v="Item on File"/>
    <s v="00000P0003000186731"/>
    <s v=""/>
    <s v="111611"/>
    <x v="6"/>
    <s v="T0004014"/>
    <s v="Mamalu Kitchen"/>
    <s v="100465610200003"/>
    <d v="2025-12-20T00:00:00"/>
    <n v="-1"/>
    <n v="275"/>
    <n v="-261.89999999999998"/>
    <n v="0"/>
    <n v="-13.1"/>
    <s v="P0003"/>
    <s v="910910"/>
    <s v=""/>
    <d v="1899-12-30T18:19:04"/>
    <n v="0"/>
    <n v="0"/>
    <n v="0"/>
    <b v="0"/>
    <b v="0"/>
    <b v="0"/>
    <b v="0"/>
    <s v="HEAD"/>
    <b v="1"/>
    <b v="0"/>
    <d v="2025-12-22T00:00:00"/>
    <d v="1899-12-30T13:00:00"/>
  </r>
  <r>
    <n v="189058"/>
    <s v="Item on File"/>
    <s v="00000P0003000186732"/>
    <s v=""/>
    <s v="105043"/>
    <x v="12"/>
    <s v="T0004014"/>
    <s v="Mamalu Kitchen"/>
    <s v="100465610200003"/>
    <d v="2025-12-20T00:00:00"/>
    <n v="-2"/>
    <n v="250"/>
    <n v="-476.19"/>
    <n v="0"/>
    <n v="-23.81"/>
    <s v="P0003"/>
    <s v="910910"/>
    <s v=""/>
    <d v="1899-12-30T18:20:09"/>
    <n v="0"/>
    <n v="0"/>
    <n v="0"/>
    <b v="0"/>
    <b v="0"/>
    <b v="0"/>
    <b v="0"/>
    <s v="HEAD"/>
    <b v="1"/>
    <b v="0"/>
    <d v="2025-12-23T00:00:00"/>
    <d v="1899-12-30T12:30:00"/>
  </r>
  <r>
    <n v="189059"/>
    <s v="Item on File"/>
    <s v="00000P0003000186733"/>
    <s v=""/>
    <s v="111611"/>
    <x v="6"/>
    <s v="T0004014"/>
    <s v="Mamalu Kitchen"/>
    <s v="100465610200003"/>
    <d v="2025-12-20T00:00:00"/>
    <n v="-1"/>
    <n v="275"/>
    <n v="-261.89999999999998"/>
    <n v="0"/>
    <n v="-13.1"/>
    <s v="P0003"/>
    <s v="910910"/>
    <s v=""/>
    <d v="1899-12-30T18:21:37"/>
    <n v="0"/>
    <n v="0"/>
    <n v="0"/>
    <b v="0"/>
    <b v="0"/>
    <b v="0"/>
    <b v="0"/>
    <s v="HEAD"/>
    <b v="1"/>
    <b v="0"/>
    <d v="2025-12-20T00:00:00"/>
    <d v="1899-12-30T13:00:00"/>
  </r>
  <r>
    <n v="189060"/>
    <s v="Item on File"/>
    <s v="00000P0003000186734"/>
    <s v=""/>
    <s v="111611"/>
    <x v="6"/>
    <s v="T0004014"/>
    <s v="Mamalu Kitchen"/>
    <s v="100465610200003"/>
    <d v="2025-12-20T00:00:00"/>
    <n v="-1"/>
    <n v="275"/>
    <n v="-261.89999999999998"/>
    <n v="0"/>
    <n v="-13.1"/>
    <s v="P0003"/>
    <s v="910910"/>
    <s v=""/>
    <d v="1899-12-30T18:22:25"/>
    <n v="0"/>
    <n v="0"/>
    <n v="0"/>
    <b v="0"/>
    <b v="0"/>
    <b v="0"/>
    <b v="0"/>
    <s v="HEAD"/>
    <b v="1"/>
    <b v="0"/>
    <d v="2025-12-22T00:00:00"/>
    <d v="1899-12-30T13:00:00"/>
  </r>
  <r>
    <n v="189062"/>
    <s v="Item on File"/>
    <s v="00000P0003000186736"/>
    <s v=""/>
    <s v="111611"/>
    <x v="6"/>
    <s v="T0004014"/>
    <s v="Mamalu Kitchen"/>
    <s v="100465610200003"/>
    <d v="2025-12-20T00:00:00"/>
    <n v="-1"/>
    <n v="275"/>
    <n v="-261.89999999999998"/>
    <n v="0"/>
    <n v="-13.1"/>
    <s v="P0003"/>
    <s v="910910"/>
    <s v=""/>
    <d v="1899-12-30T18:25:12"/>
    <n v="0"/>
    <n v="0"/>
    <n v="0"/>
    <b v="0"/>
    <b v="0"/>
    <b v="0"/>
    <b v="0"/>
    <s v="HEAD"/>
    <b v="1"/>
    <b v="0"/>
    <d v="2025-12-20T00:00:00"/>
    <d v="1899-12-30T13:00:00"/>
  </r>
  <r>
    <n v="189064"/>
    <s v="Item on File"/>
    <s v="00000P0003000186738"/>
    <s v=""/>
    <s v="114003"/>
    <x v="45"/>
    <s v="T0004014"/>
    <s v="Mamalu Kitchen"/>
    <s v="100465610200003"/>
    <d v="2025-12-20T00:00:00"/>
    <n v="-1"/>
    <n v="525"/>
    <n v="-500"/>
    <n v="0"/>
    <n v="-25"/>
    <s v="P0003"/>
    <s v="910910"/>
    <s v=""/>
    <d v="1899-12-30T18:26:21"/>
    <n v="0"/>
    <n v="0"/>
    <n v="0"/>
    <b v="0"/>
    <b v="0"/>
    <b v="0"/>
    <b v="0"/>
    <s v="PCS"/>
    <b v="1"/>
    <b v="0"/>
    <m/>
    <d v="1899-12-30T00:00:00"/>
  </r>
  <r>
    <n v="189066"/>
    <s v="Item on File"/>
    <s v="00000P0003000186740"/>
    <s v=""/>
    <s v="105043"/>
    <x v="12"/>
    <s v="T0004014"/>
    <s v="Mamalu Kitchen"/>
    <s v="100465610200003"/>
    <d v="2025-12-20T00:00:00"/>
    <n v="-1"/>
    <n v="250"/>
    <n v="-238.09"/>
    <n v="0"/>
    <n v="-11.91"/>
    <s v="P0003"/>
    <s v="910910"/>
    <s v=""/>
    <d v="1899-12-30T18:27:40"/>
    <n v="0"/>
    <n v="0"/>
    <n v="0"/>
    <b v="0"/>
    <b v="0"/>
    <b v="0"/>
    <b v="0"/>
    <s v="HEAD"/>
    <b v="1"/>
    <b v="0"/>
    <d v="2025-12-20T00:00:00"/>
    <d v="1899-12-30T18:30:00"/>
  </r>
  <r>
    <n v="189067"/>
    <s v="Item on File"/>
    <s v="00000P0003000186741"/>
    <s v=""/>
    <s v="105043"/>
    <x v="12"/>
    <s v="T0004014"/>
    <s v="Mamalu Kitchen"/>
    <s v="100465610200003"/>
    <d v="2025-12-20T00:00:00"/>
    <n v="-1"/>
    <n v="250"/>
    <n v="-238.09"/>
    <n v="0"/>
    <n v="-11.91"/>
    <s v="P0003"/>
    <s v="910910"/>
    <s v=""/>
    <d v="1899-12-30T18:28:36"/>
    <n v="0"/>
    <n v="0"/>
    <n v="0"/>
    <b v="0"/>
    <b v="0"/>
    <b v="0"/>
    <b v="0"/>
    <s v="HEAD"/>
    <b v="1"/>
    <b v="0"/>
    <d v="2025-12-20T00:00:00"/>
    <d v="1899-12-30T18:30:00"/>
  </r>
  <r>
    <n v="189068"/>
    <s v="Item on File"/>
    <s v="00000P0003000186742"/>
    <s v=""/>
    <s v="105043"/>
    <x v="12"/>
    <s v="T0004014"/>
    <s v="Mamalu Kitchen"/>
    <s v="100465610200003"/>
    <d v="2025-12-20T00:00:00"/>
    <n v="-2"/>
    <n v="250"/>
    <n v="-476.19"/>
    <n v="0"/>
    <n v="-23.81"/>
    <s v="P0003"/>
    <s v="910910"/>
    <s v=""/>
    <d v="1899-12-30T18:29:15"/>
    <n v="0"/>
    <n v="0"/>
    <n v="0"/>
    <b v="0"/>
    <b v="0"/>
    <b v="0"/>
    <b v="0"/>
    <s v="HEAD"/>
    <b v="1"/>
    <b v="0"/>
    <d v="2025-12-20T00:00:00"/>
    <d v="1899-12-30T18:30:00"/>
  </r>
  <r>
    <n v="189223"/>
    <s v="Item on File"/>
    <s v="00000P0003000186899"/>
    <s v=""/>
    <s v="113997"/>
    <x v="19"/>
    <s v="T0004014"/>
    <s v="Mamalu Kitchen"/>
    <s v="100465610200003"/>
    <d v="2025-12-22T00:00:00"/>
    <n v="-1"/>
    <n v="275"/>
    <n v="-261.89999999999998"/>
    <n v="0"/>
    <n v="-13.1"/>
    <s v="P0003"/>
    <s v="910910"/>
    <s v=""/>
    <d v="1899-12-30T17:49:07"/>
    <n v="0"/>
    <n v="0"/>
    <n v="0"/>
    <b v="0"/>
    <b v="0"/>
    <b v="0"/>
    <b v="0"/>
    <s v="HEAD"/>
    <b v="1"/>
    <b v="0"/>
    <d v="2025-12-22T00:00:00"/>
    <d v="1899-12-30T13:00:00"/>
  </r>
  <r>
    <n v="189224"/>
    <s v="Item on File"/>
    <s v="00000P0003000186900"/>
    <s v=""/>
    <s v="114001"/>
    <x v="15"/>
    <s v="T0004014"/>
    <s v="Mamalu Kitchen"/>
    <s v="100465610200003"/>
    <d v="2025-12-22T00:00:00"/>
    <n v="-4"/>
    <n v="250"/>
    <n v="-952.38"/>
    <n v="0"/>
    <n v="-47.62"/>
    <s v="P0003"/>
    <s v="910910"/>
    <s v=""/>
    <d v="1899-12-30T17:54:30"/>
    <n v="0"/>
    <n v="0"/>
    <n v="0"/>
    <b v="0"/>
    <b v="0"/>
    <b v="0"/>
    <b v="0"/>
    <s v="HEAD"/>
    <b v="1"/>
    <b v="0"/>
    <d v="2025-12-27T00:00:00"/>
    <d v="1899-12-30T12:30:00"/>
  </r>
  <r>
    <n v="189225"/>
    <s v="Item on File"/>
    <s v="00000P0003000186901"/>
    <s v=""/>
    <s v="114002"/>
    <x v="21"/>
    <s v="T0004014"/>
    <s v="Mamalu Kitchen"/>
    <s v="100465610200003"/>
    <d v="2025-12-22T00:00:00"/>
    <n v="-4"/>
    <n v="250"/>
    <n v="-952.38"/>
    <n v="0"/>
    <n v="-47.62"/>
    <s v="P0003"/>
    <s v="910910"/>
    <s v=""/>
    <d v="1899-12-30T17:58:54"/>
    <n v="0"/>
    <n v="0"/>
    <n v="0"/>
    <b v="0"/>
    <b v="0"/>
    <b v="0"/>
    <b v="0"/>
    <s v="HEAD"/>
    <b v="1"/>
    <b v="0"/>
    <d v="2025-12-28T00:00:00"/>
    <d v="1899-12-30T13:00:00"/>
  </r>
  <r>
    <n v="189226"/>
    <s v="Item on File"/>
    <s v="00000P0003000186902"/>
    <s v=""/>
    <s v="105043"/>
    <x v="12"/>
    <s v="T0004014"/>
    <s v="Mamalu Kitchen"/>
    <s v="100465610200003"/>
    <d v="2025-12-22T00:00:00"/>
    <n v="-1"/>
    <n v="250"/>
    <n v="-238.09"/>
    <n v="0"/>
    <n v="-11.91"/>
    <s v="P0003"/>
    <s v="910910"/>
    <s v=""/>
    <d v="1899-12-30T18:02:07"/>
    <n v="0"/>
    <n v="0"/>
    <n v="0"/>
    <b v="0"/>
    <b v="0"/>
    <b v="0"/>
    <b v="0"/>
    <s v="HEAD"/>
    <b v="1"/>
    <b v="0"/>
    <d v="2025-12-23T00:00:00"/>
    <d v="1899-12-30T12:30:00"/>
  </r>
  <r>
    <n v="189227"/>
    <s v="Item on File"/>
    <s v="00000P0003000186903"/>
    <s v=""/>
    <s v="105043"/>
    <x v="12"/>
    <s v="T0004014"/>
    <s v="Mamalu Kitchen"/>
    <s v="100465610200003"/>
    <d v="2025-12-22T00:00:00"/>
    <n v="-2"/>
    <n v="250"/>
    <n v="-476.19"/>
    <n v="0"/>
    <n v="-23.81"/>
    <s v="P0003"/>
    <s v="910910"/>
    <s v=""/>
    <d v="1899-12-30T18:05:12"/>
    <n v="0"/>
    <n v="0"/>
    <n v="0"/>
    <b v="0"/>
    <b v="0"/>
    <b v="0"/>
    <b v="0"/>
    <s v="HEAD"/>
    <b v="1"/>
    <b v="0"/>
    <d v="2025-12-23T00:00:00"/>
    <d v="1899-12-30T12:30:00"/>
  </r>
  <r>
    <n v="189228"/>
    <s v="Item on File"/>
    <s v="00000P0003000186904"/>
    <s v=""/>
    <s v="103011"/>
    <x v="2"/>
    <s v="T0004014"/>
    <s v="Mamalu Kitchen"/>
    <s v="100465610200003"/>
    <d v="2025-12-22T00:00:00"/>
    <n v="-2"/>
    <n v="250"/>
    <n v="-476.19"/>
    <n v="0"/>
    <n v="-23.81"/>
    <s v="P0003"/>
    <s v="910910"/>
    <s v=""/>
    <d v="1899-12-30T18:07:04"/>
    <n v="0"/>
    <n v="0"/>
    <n v="0"/>
    <b v="0"/>
    <b v="0"/>
    <b v="0"/>
    <b v="0"/>
    <s v="HEAD"/>
    <b v="1"/>
    <b v="0"/>
    <d v="2025-12-23T00:00:00"/>
    <d v="1899-12-30T15:00:00"/>
  </r>
  <r>
    <n v="189229"/>
    <s v="Item on File"/>
    <s v="00000P0003000186905"/>
    <s v=""/>
    <s v="112928"/>
    <x v="23"/>
    <s v="T0004014"/>
    <s v="Mamalu Kitchen"/>
    <s v="100465610200003"/>
    <d v="2025-12-22T00:00:00"/>
    <n v="-1"/>
    <n v="550"/>
    <n v="-523.80999999999995"/>
    <n v="0"/>
    <n v="-26.19"/>
    <s v="P0003"/>
    <s v="910910"/>
    <s v=""/>
    <d v="1899-12-30T18:09:42"/>
    <n v="0"/>
    <n v="0"/>
    <n v="0"/>
    <b v="0"/>
    <b v="0"/>
    <b v="0"/>
    <b v="0"/>
    <s v="HEAD"/>
    <b v="1"/>
    <b v="0"/>
    <d v="2025-12-22T00:00:00"/>
    <d v="1899-12-30T17:00:00"/>
  </r>
  <r>
    <n v="189230"/>
    <s v="Item on File"/>
    <s v="00000P0003000186906"/>
    <s v=""/>
    <s v="105043"/>
    <x v="12"/>
    <s v="T0004014"/>
    <s v="Mamalu Kitchen"/>
    <s v="100465610200003"/>
    <d v="2025-12-22T00:00:00"/>
    <n v="-1"/>
    <n v="250"/>
    <n v="-238.09"/>
    <n v="0"/>
    <n v="-11.91"/>
    <s v="P0003"/>
    <s v="910910"/>
    <s v=""/>
    <d v="1899-12-30T18:12:12"/>
    <n v="0"/>
    <n v="0"/>
    <n v="0"/>
    <b v="0"/>
    <b v="0"/>
    <b v="0"/>
    <b v="0"/>
    <s v="HEAD"/>
    <b v="1"/>
    <b v="0"/>
    <d v="2025-12-23T00:00:00"/>
    <d v="1899-12-30T12:30:00"/>
  </r>
  <r>
    <n v="189371"/>
    <s v="Item on File"/>
    <s v="00000P0003000187047"/>
    <s v=""/>
    <s v="111611"/>
    <x v="6"/>
    <s v="T0004014"/>
    <s v="Mamalu Kitchen"/>
    <s v="100465610200003"/>
    <d v="2025-12-24T00:00:00"/>
    <n v="-1"/>
    <n v="275"/>
    <n v="-261.89999999999998"/>
    <n v="0"/>
    <n v="-13.1"/>
    <s v="P0003"/>
    <s v="321731"/>
    <s v=""/>
    <d v="1899-12-30T15:28:50"/>
    <n v="0"/>
    <n v="0"/>
    <n v="0"/>
    <b v="0"/>
    <b v="0"/>
    <b v="0"/>
    <b v="0"/>
    <s v="HEAD"/>
    <b v="1"/>
    <b v="0"/>
    <d v="2025-12-27T00:00:00"/>
    <d v="1899-12-30T17:00:00"/>
  </r>
  <r>
    <n v="189373"/>
    <s v="Item on File"/>
    <s v="00000P0003000187049"/>
    <s v=""/>
    <s v="111611"/>
    <x v="6"/>
    <s v="T0004014"/>
    <s v="Mamalu Kitchen"/>
    <s v="100465610200003"/>
    <d v="2025-12-24T00:00:00"/>
    <n v="-2"/>
    <n v="275"/>
    <n v="-523.80999999999995"/>
    <n v="0"/>
    <n v="-26.19"/>
    <s v="P0003"/>
    <s v="321731"/>
    <s v=""/>
    <d v="1899-12-30T15:30:42"/>
    <n v="0"/>
    <n v="0"/>
    <n v="0"/>
    <b v="0"/>
    <b v="0"/>
    <b v="0"/>
    <b v="0"/>
    <s v="HEAD"/>
    <b v="1"/>
    <b v="0"/>
    <d v="2025-12-27T00:00:00"/>
    <d v="1899-12-30T17:00:00"/>
  </r>
  <r>
    <n v="189374"/>
    <s v="Item on File"/>
    <s v="00000P0003000187051"/>
    <s v=""/>
    <s v="113999"/>
    <x v="46"/>
    <s v="T0004014"/>
    <s v="Mamalu Kitchen"/>
    <s v="100465610200003"/>
    <d v="2025-12-24T00:00:00"/>
    <n v="-1"/>
    <n v="225"/>
    <n v="-214.29"/>
    <n v="0"/>
    <n v="-10.71"/>
    <s v="P0003"/>
    <s v="321731"/>
    <s v=""/>
    <d v="1899-12-30T15:31:57"/>
    <n v="0"/>
    <n v="0"/>
    <n v="0"/>
    <b v="0"/>
    <b v="0"/>
    <b v="0"/>
    <b v="0"/>
    <s v="HEAD"/>
    <b v="1"/>
    <b v="0"/>
    <d v="2025-12-24T00:00:00"/>
    <d v="1899-12-30T17:00:00"/>
  </r>
  <r>
    <n v="189375"/>
    <s v="Item on File"/>
    <s v="00000P0003000187052"/>
    <s v=""/>
    <s v="113999"/>
    <x v="46"/>
    <s v="T0004014"/>
    <s v="Mamalu Kitchen"/>
    <s v="100465610200003"/>
    <d v="2025-12-24T00:00:00"/>
    <n v="-2"/>
    <n v="225"/>
    <n v="-428.57"/>
    <n v="0"/>
    <n v="-21.43"/>
    <s v="P0003"/>
    <s v="321731"/>
    <s v=""/>
    <d v="1899-12-30T15:33:04"/>
    <n v="0"/>
    <n v="0"/>
    <n v="0"/>
    <b v="0"/>
    <b v="0"/>
    <b v="0"/>
    <b v="0"/>
    <s v="HEAD"/>
    <b v="1"/>
    <b v="0"/>
    <d v="2025-12-24T00:00:00"/>
    <d v="1899-12-30T17:00:00"/>
  </r>
  <r>
    <n v="189634"/>
    <s v="Item on File"/>
    <s v="00000P0003000187299"/>
    <s v=""/>
    <s v="113997"/>
    <x v="19"/>
    <s v="T0004014"/>
    <s v="Mamalu Kitchen"/>
    <s v="100465610200003"/>
    <d v="2025-12-26T00:00:00"/>
    <n v="-4"/>
    <n v="275"/>
    <n v="-1047.6199999999999"/>
    <n v="0"/>
    <n v="-52.38"/>
    <s v="P0003"/>
    <s v="910910"/>
    <s v=""/>
    <d v="1899-12-30T17:45:10"/>
    <n v="0"/>
    <n v="0"/>
    <n v="0"/>
    <b v="0"/>
    <b v="0"/>
    <b v="0"/>
    <b v="0"/>
    <s v="HEAD"/>
    <b v="1"/>
    <b v="0"/>
    <d v="2025-12-27T00:00:00"/>
    <d v="1899-12-30T17:00:00"/>
  </r>
  <r>
    <n v="189635"/>
    <s v="Item on File"/>
    <s v="00000P0003000187300"/>
    <s v=""/>
    <s v="113997"/>
    <x v="19"/>
    <s v="T0004014"/>
    <s v="Mamalu Kitchen"/>
    <s v="100465610200003"/>
    <d v="2025-12-26T00:00:00"/>
    <n v="-2"/>
    <n v="275"/>
    <n v="-523.80999999999995"/>
    <n v="0"/>
    <n v="-26.19"/>
    <s v="P0003"/>
    <s v="910910"/>
    <s v=""/>
    <d v="1899-12-30T17:46:51"/>
    <n v="0"/>
    <n v="0"/>
    <n v="0"/>
    <b v="0"/>
    <b v="0"/>
    <b v="0"/>
    <b v="0"/>
    <s v="HEAD"/>
    <b v="1"/>
    <b v="0"/>
    <d v="2025-12-27T00:00:00"/>
    <d v="1899-12-30T17:00:00"/>
  </r>
  <r>
    <n v="189636"/>
    <s v="Item on File"/>
    <s v="00000P0003000187301"/>
    <s v=""/>
    <s v="114000"/>
    <x v="43"/>
    <s v="T0004014"/>
    <s v="Mamalu Kitchen"/>
    <s v="100465610200003"/>
    <d v="2025-12-26T00:00:00"/>
    <n v="-1"/>
    <n v="475"/>
    <n v="-452.38"/>
    <n v="0"/>
    <n v="-22.62"/>
    <s v="P0003"/>
    <s v="910910"/>
    <s v=""/>
    <d v="1899-12-30T17:48:06"/>
    <n v="0"/>
    <n v="0"/>
    <n v="0"/>
    <b v="0"/>
    <b v="0"/>
    <b v="0"/>
    <b v="0"/>
    <s v="HEAD"/>
    <b v="1"/>
    <b v="0"/>
    <d v="2025-12-26T00:00:00"/>
    <d v="1899-12-30T16:30:00"/>
  </r>
  <r>
    <n v="189814"/>
    <s v="Item on File"/>
    <s v="00000P0003000187479"/>
    <s v=""/>
    <s v="103899"/>
    <x v="13"/>
    <s v="T0004014"/>
    <s v="Mamalu Kitchen"/>
    <s v="100465610200003"/>
    <d v="2025-12-28T00:00:00"/>
    <n v="-6"/>
    <n v="350"/>
    <n v="-2000"/>
    <n v="0"/>
    <n v="-100"/>
    <s v="P0003"/>
    <s v="322331"/>
    <s v=""/>
    <d v="1899-12-30T17:54:48"/>
    <n v="0"/>
    <n v="0"/>
    <n v="0"/>
    <b v="0"/>
    <b v="0"/>
    <b v="0"/>
    <b v="0"/>
    <s v="HEAD"/>
    <b v="1"/>
    <b v="0"/>
    <d v="2025-12-30T00:00:00"/>
    <d v="1899-12-30T18:00:00"/>
  </r>
  <r>
    <n v="189815"/>
    <s v="Item on File"/>
    <s v="00000P0003000187480"/>
    <s v=""/>
    <s v="105043"/>
    <x v="12"/>
    <s v="T0004014"/>
    <s v="Mamalu Kitchen"/>
    <s v="100465610200003"/>
    <d v="2025-12-28T00:00:00"/>
    <n v="-1"/>
    <n v="250"/>
    <n v="-238.09"/>
    <n v="0"/>
    <n v="-11.91"/>
    <s v="P0003"/>
    <s v="322331"/>
    <s v=""/>
    <d v="1899-12-30T17:55:30"/>
    <n v="0"/>
    <n v="0"/>
    <n v="0"/>
    <b v="0"/>
    <b v="0"/>
    <b v="0"/>
    <b v="0"/>
    <s v="HEAD"/>
    <b v="1"/>
    <b v="0"/>
    <d v="2025-12-29T00:00:00"/>
    <d v="1899-12-30T11:30:00"/>
  </r>
  <r>
    <n v="189816"/>
    <s v="Item on File"/>
    <s v="00000P0003000187481"/>
    <s v=""/>
    <s v="105043"/>
    <x v="12"/>
    <s v="T0004014"/>
    <s v="Mamalu Kitchen"/>
    <s v="100465610200003"/>
    <d v="2025-12-28T00:00:00"/>
    <n v="-1"/>
    <n v="250"/>
    <n v="-238.09"/>
    <n v="0"/>
    <n v="-11.91"/>
    <s v="P0003"/>
    <s v="322331"/>
    <s v=""/>
    <d v="1899-12-30T17:56:32"/>
    <n v="0"/>
    <n v="0"/>
    <n v="0"/>
    <b v="0"/>
    <b v="0"/>
    <b v="0"/>
    <b v="0"/>
    <s v="HEAD"/>
    <b v="1"/>
    <b v="0"/>
    <d v="2025-12-29T00:00:00"/>
    <d v="1899-12-30T12:30:00"/>
  </r>
  <r>
    <n v="189817"/>
    <s v="Item on File"/>
    <s v="00000P0003000187482"/>
    <s v=""/>
    <s v="114002"/>
    <x v="21"/>
    <s v="T0004014"/>
    <s v="Mamalu Kitchen"/>
    <s v="100465610200003"/>
    <d v="2025-12-28T00:00:00"/>
    <n v="-1"/>
    <n v="250"/>
    <n v="-238.09"/>
    <n v="0"/>
    <n v="-11.91"/>
    <s v="P0003"/>
    <s v="322331"/>
    <s v=""/>
    <d v="1899-12-30T17:57:44"/>
    <n v="0"/>
    <n v="0"/>
    <n v="0"/>
    <b v="0"/>
    <b v="0"/>
    <b v="0"/>
    <b v="0"/>
    <s v="HEAD"/>
    <b v="1"/>
    <b v="0"/>
    <d v="2025-12-28T00:00:00"/>
    <d v="1899-12-30T12:30:00"/>
  </r>
  <r>
    <n v="189818"/>
    <s v="Item on File"/>
    <s v="00000P0003000187483"/>
    <s v=""/>
    <s v="114002"/>
    <x v="21"/>
    <s v="T0004014"/>
    <s v="Mamalu Kitchen"/>
    <s v="100465610200003"/>
    <d v="2025-12-28T00:00:00"/>
    <n v="-2"/>
    <n v="250"/>
    <n v="-476.19"/>
    <n v="0"/>
    <n v="-23.81"/>
    <s v="P0003"/>
    <s v="322331"/>
    <s v=""/>
    <d v="1899-12-30T17:58:19"/>
    <n v="0"/>
    <n v="0"/>
    <n v="0"/>
    <b v="0"/>
    <b v="0"/>
    <b v="0"/>
    <b v="0"/>
    <s v="HEAD"/>
    <b v="1"/>
    <b v="0"/>
    <d v="2025-12-28T00:00:00"/>
    <d v="1899-12-30T12:30:00"/>
  </r>
  <r>
    <n v="189819"/>
    <s v="Item on File"/>
    <s v="00000P0003000187484"/>
    <s v=""/>
    <s v="114002"/>
    <x v="21"/>
    <s v="T0004014"/>
    <s v="Mamalu Kitchen"/>
    <s v="100465610200003"/>
    <d v="2025-12-28T00:00:00"/>
    <n v="-2"/>
    <n v="250"/>
    <n v="-476.19"/>
    <n v="0"/>
    <n v="-23.81"/>
    <s v="P0003"/>
    <s v="322331"/>
    <s v=""/>
    <d v="1899-12-30T17:58:53"/>
    <n v="0"/>
    <n v="0"/>
    <n v="0"/>
    <b v="0"/>
    <b v="0"/>
    <b v="0"/>
    <b v="0"/>
    <s v="HEAD"/>
    <b v="1"/>
    <b v="0"/>
    <d v="2025-12-28T00:00:00"/>
    <d v="1899-12-30T12:30:00"/>
  </r>
  <r>
    <n v="189820"/>
    <s v="Item on File"/>
    <s v="00000P0003000187485"/>
    <s v=""/>
    <s v="114002"/>
    <x v="21"/>
    <s v="T0004014"/>
    <s v="Mamalu Kitchen"/>
    <s v="100465610200003"/>
    <d v="2025-12-28T00:00:00"/>
    <n v="-1"/>
    <n v="250"/>
    <n v="-238.09"/>
    <n v="0"/>
    <n v="-11.91"/>
    <s v="P0003"/>
    <s v="322331"/>
    <s v=""/>
    <d v="1899-12-30T18:00:03"/>
    <n v="0"/>
    <n v="0"/>
    <n v="0"/>
    <b v="0"/>
    <b v="0"/>
    <b v="0"/>
    <b v="0"/>
    <s v="HEAD"/>
    <b v="1"/>
    <b v="0"/>
    <d v="2025-12-28T00:00:00"/>
    <d v="1899-12-30T12:30:00"/>
  </r>
  <r>
    <n v="190063"/>
    <s v="Item on File"/>
    <s v="00000P0003000187722"/>
    <s v=""/>
    <s v="104880"/>
    <x v="8"/>
    <s v="T0004014"/>
    <s v="Mamalu Kitchen"/>
    <s v="100465610200003"/>
    <d v="2025-12-30T00:00:00"/>
    <n v="-2"/>
    <n v="225"/>
    <n v="-428.57"/>
    <n v="0"/>
    <n v="-21.43"/>
    <s v="P0003"/>
    <s v="324051"/>
    <s v=""/>
    <d v="1899-12-30T18:21:32"/>
    <n v="0"/>
    <n v="0"/>
    <n v="0"/>
    <b v="0"/>
    <b v="0"/>
    <b v="0"/>
    <b v="0"/>
    <s v="HEAD"/>
    <b v="1"/>
    <b v="0"/>
    <d v="2025-12-30T00:00:00"/>
    <d v="1899-12-30T13:00:00"/>
  </r>
  <r>
    <n v="190064"/>
    <s v="Item on File"/>
    <s v="00000P0003000187723"/>
    <s v=""/>
    <s v="104880"/>
    <x v="8"/>
    <s v="T0004014"/>
    <s v="Mamalu Kitchen"/>
    <s v="100465610200003"/>
    <d v="2025-12-30T00:00:00"/>
    <n v="-2"/>
    <n v="225"/>
    <n v="-428.57"/>
    <n v="0"/>
    <n v="-21.43"/>
    <s v="P0003"/>
    <s v="324051"/>
    <s v=""/>
    <d v="1899-12-30T18:22:44"/>
    <n v="0"/>
    <n v="0"/>
    <n v="0"/>
    <b v="0"/>
    <b v="0"/>
    <b v="0"/>
    <b v="0"/>
    <s v="HEAD"/>
    <b v="1"/>
    <b v="0"/>
    <d v="2025-12-30T00:00:00"/>
    <d v="1899-12-30T13:00:00"/>
  </r>
  <r>
    <n v="190065"/>
    <s v="Item on File"/>
    <s v="00000P0003000187724"/>
    <s v=""/>
    <s v="104880"/>
    <x v="8"/>
    <s v="T0004014"/>
    <s v="Mamalu Kitchen"/>
    <s v="100465610200003"/>
    <d v="2025-12-30T00:00:00"/>
    <n v="-2"/>
    <n v="225"/>
    <n v="-428.57"/>
    <n v="0"/>
    <n v="-21.43"/>
    <s v="P0003"/>
    <s v="324051"/>
    <s v=""/>
    <d v="1899-12-30T18:23:46"/>
    <n v="0"/>
    <n v="0"/>
    <n v="0"/>
    <b v="0"/>
    <b v="0"/>
    <b v="0"/>
    <b v="0"/>
    <s v="HEAD"/>
    <b v="1"/>
    <b v="0"/>
    <d v="2025-12-30T00:00:00"/>
    <d v="1899-12-30T13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14523-9718-4C10-8D97-2A17310A08E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2:E222" firstHeaderRow="0" firstDataRow="1" firstDataCol="1"/>
  <pivotFields count="31">
    <pivotField numFmtId="1" showAll="0"/>
    <pivotField showAll="0"/>
    <pivotField showAll="0"/>
    <pivotField showAll="0"/>
    <pivotField showAll="0"/>
    <pivotField axis="axisRow" showAll="0">
      <items count="48">
        <item h="1" x="5"/>
        <item h="1" x="41"/>
        <item h="1" x="33"/>
        <item h="1" x="38"/>
        <item h="1" x="25"/>
        <item h="1" x="30"/>
        <item h="1" x="40"/>
        <item x="0"/>
        <item x="35"/>
        <item x="17"/>
        <item h="1" x="24"/>
        <item h="1" x="43"/>
        <item h="1" x="44"/>
        <item h="1" x="11"/>
        <item h="1" x="22"/>
        <item h="1" x="2"/>
        <item h="1" x="42"/>
        <item h="1" x="23"/>
        <item h="1" x="45"/>
        <item x="14"/>
        <item h="1" x="29"/>
        <item x="31"/>
        <item h="1" x="21"/>
        <item h="1" x="12"/>
        <item h="1" x="46"/>
        <item h="1" x="16"/>
        <item h="1" x="15"/>
        <item h="1" x="6"/>
        <item h="1" x="19"/>
        <item h="1" x="32"/>
        <item h="1" x="20"/>
        <item h="1" x="9"/>
        <item x="18"/>
        <item h="1" x="27"/>
        <item h="1" x="28"/>
        <item h="1" x="3"/>
        <item h="1" x="34"/>
        <item h="1" x="13"/>
        <item h="1" x="8"/>
        <item h="1" x="7"/>
        <item h="1" x="10"/>
        <item h="1" x="4"/>
        <item x="36"/>
        <item h="1" x="1"/>
        <item h="1" x="26"/>
        <item x="37"/>
        <item x="39"/>
        <item t="default"/>
      </items>
    </pivotField>
    <pivotField showAll="0"/>
    <pivotField showAll="0"/>
    <pivotField showAll="0"/>
    <pivotField numFmtId="14" showAll="0"/>
    <pivotField dataField="1" numFmtId="169" showAll="0"/>
    <pivotField numFmtId="4" showAll="0"/>
    <pivotField dataField="1" numFmtId="4" showAll="0"/>
    <pivotField numFmtId="4" showAll="0"/>
    <pivotField dataField="1" numFmtId="4" showAll="0"/>
    <pivotField showAll="0"/>
    <pivotField showAll="0"/>
    <pivotField showAll="0"/>
    <pivotField numFmtId="170"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0" showAll="0"/>
  </pivotFields>
  <rowFields count="1">
    <field x="5"/>
  </rowFields>
  <rowItems count="10">
    <i>
      <x v="7"/>
    </i>
    <i>
      <x v="8"/>
    </i>
    <i>
      <x v="9"/>
    </i>
    <i>
      <x v="19"/>
    </i>
    <i>
      <x v="21"/>
    </i>
    <i>
      <x v="32"/>
    </i>
    <i>
      <x v="42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0" baseField="0" baseItem="0" numFmtId="169"/>
    <dataField name="Sum of Net Amount" fld="12" baseField="0" baseItem="0" numFmtId="4"/>
    <dataField name="Sum of VAT Amount" fld="14" baseField="0" baseItem="0" numFmtId="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785E-BDC1-48EA-98DF-7771E16E7D3D}">
  <dimension ref="A1:O233"/>
  <sheetViews>
    <sheetView tabSelected="1" zoomScale="71" zoomScaleNormal="71" workbookViewId="0">
      <pane xSplit="1" ySplit="4" topLeftCell="B192" activePane="bottomRight" state="frozen"/>
      <selection pane="topRight" activeCell="B1" sqref="B1"/>
      <selection pane="bottomLeft" activeCell="A5" sqref="A5"/>
      <selection pane="bottomRight" activeCell="F195" sqref="F195:J195"/>
    </sheetView>
  </sheetViews>
  <sheetFormatPr defaultRowHeight="20.5"/>
  <cols>
    <col min="1" max="1" width="9.4140625" style="5" customWidth="1"/>
    <col min="2" max="2" width="26.6640625" style="22" customWidth="1"/>
    <col min="3" max="3" width="36.83203125" style="43" customWidth="1"/>
    <col min="4" max="4" width="16.75" style="43" bestFit="1" customWidth="1"/>
    <col min="5" max="5" width="24.4140625" style="29" bestFit="1" customWidth="1"/>
    <col min="6" max="6" width="15" style="22" bestFit="1" customWidth="1"/>
    <col min="7" max="7" width="11.5" style="34" customWidth="1"/>
    <col min="8" max="8" width="17.1640625" style="22" customWidth="1"/>
    <col min="9" max="9" width="16.58203125" style="22" customWidth="1"/>
    <col min="10" max="10" width="15.1640625" style="22" bestFit="1" customWidth="1"/>
    <col min="11" max="11" width="20.75" style="5" customWidth="1"/>
    <col min="12" max="12" width="15.4140625" style="5" customWidth="1"/>
    <col min="13" max="13" width="116.58203125" style="47" customWidth="1"/>
    <col min="14" max="14" width="37.9140625" customWidth="1"/>
  </cols>
  <sheetData>
    <row r="1" spans="1:13" ht="26.5">
      <c r="A1" s="97" t="s">
        <v>22</v>
      </c>
      <c r="B1" s="97"/>
      <c r="C1" s="97"/>
      <c r="D1" s="97"/>
      <c r="E1" s="97"/>
      <c r="F1" s="97"/>
      <c r="G1" s="83"/>
      <c r="H1" s="82"/>
      <c r="I1" s="82"/>
      <c r="J1" s="82"/>
      <c r="K1" s="30"/>
      <c r="L1" s="30"/>
      <c r="M1" s="84"/>
    </row>
    <row r="2" spans="1:13" ht="26.5">
      <c r="A2" s="30"/>
      <c r="B2" s="81"/>
      <c r="C2" s="31"/>
      <c r="D2" s="31"/>
      <c r="E2" s="31"/>
      <c r="F2" s="31"/>
      <c r="G2" s="31"/>
      <c r="H2" s="31"/>
      <c r="I2" s="31"/>
      <c r="J2" s="31"/>
      <c r="K2" s="31"/>
      <c r="L2" s="31"/>
      <c r="M2" s="44"/>
    </row>
    <row r="3" spans="1:13" ht="22">
      <c r="A3" s="30" t="s">
        <v>11</v>
      </c>
      <c r="B3" s="75" t="s">
        <v>19</v>
      </c>
      <c r="C3" s="26" t="s">
        <v>0</v>
      </c>
      <c r="D3" s="25" t="s">
        <v>18</v>
      </c>
      <c r="E3" s="25" t="s">
        <v>12</v>
      </c>
      <c r="F3" s="25" t="s">
        <v>16</v>
      </c>
      <c r="G3" s="32" t="s">
        <v>1</v>
      </c>
      <c r="H3" s="25" t="s">
        <v>2</v>
      </c>
      <c r="I3" s="25" t="s">
        <v>1</v>
      </c>
      <c r="J3" s="25" t="s">
        <v>3</v>
      </c>
      <c r="K3" s="25" t="s">
        <v>4</v>
      </c>
      <c r="L3" s="25" t="s">
        <v>5</v>
      </c>
      <c r="M3" s="26" t="s">
        <v>6</v>
      </c>
    </row>
    <row r="4" spans="1:13" ht="12.5" customHeight="1">
      <c r="A4" s="30"/>
      <c r="B4" s="75"/>
      <c r="C4" s="26"/>
      <c r="D4" s="26"/>
      <c r="E4" s="28"/>
      <c r="F4" s="25"/>
      <c r="G4" s="32"/>
      <c r="H4" s="25"/>
      <c r="I4" s="25"/>
      <c r="J4" s="25"/>
      <c r="K4" s="25"/>
      <c r="L4" s="25"/>
      <c r="M4" s="45"/>
    </row>
    <row r="5" spans="1:13" ht="23.25" customHeight="1">
      <c r="A5" s="53">
        <v>1</v>
      </c>
      <c r="B5" s="76">
        <v>45992</v>
      </c>
      <c r="C5" s="59" t="s">
        <v>20</v>
      </c>
      <c r="D5" s="58">
        <v>45992</v>
      </c>
      <c r="E5" s="48" t="s">
        <v>23</v>
      </c>
      <c r="F5" s="1">
        <v>200</v>
      </c>
      <c r="G5" s="33"/>
      <c r="H5" s="33">
        <f>F5*G5</f>
        <v>0</v>
      </c>
      <c r="I5" s="3">
        <v>1</v>
      </c>
      <c r="J5" s="3">
        <f>SUM(I5*F5)</f>
        <v>200</v>
      </c>
      <c r="K5" s="2">
        <f>SUM(J5+H5)</f>
        <v>200</v>
      </c>
      <c r="L5" s="4">
        <f>SUM(G5+I5)</f>
        <v>1</v>
      </c>
      <c r="M5" s="46"/>
    </row>
    <row r="6" spans="1:13" ht="23.25" customHeight="1">
      <c r="A6" s="53">
        <v>2</v>
      </c>
      <c r="B6" s="76">
        <v>45992</v>
      </c>
      <c r="C6" s="59" t="s">
        <v>24</v>
      </c>
      <c r="D6" s="58">
        <v>45992</v>
      </c>
      <c r="E6" s="50" t="s">
        <v>25</v>
      </c>
      <c r="F6" s="1">
        <v>250</v>
      </c>
      <c r="G6" s="33"/>
      <c r="H6" s="33">
        <f t="shared" ref="H6:H196" si="0">F6*G6</f>
        <v>0</v>
      </c>
      <c r="I6" s="3">
        <v>2</v>
      </c>
      <c r="J6" s="3">
        <f t="shared" ref="J6:J72" si="1">SUM(I6*F6)</f>
        <v>500</v>
      </c>
      <c r="K6" s="2">
        <f t="shared" ref="K6:K196" si="2">SUM(J6+H6)</f>
        <v>500</v>
      </c>
      <c r="L6" s="4">
        <f t="shared" ref="L6:L196" si="3">SUM(G6+I6)</f>
        <v>2</v>
      </c>
      <c r="M6" s="46"/>
    </row>
    <row r="7" spans="1:13" ht="23.25" customHeight="1">
      <c r="A7" s="98">
        <v>3</v>
      </c>
      <c r="B7" s="94">
        <v>45992</v>
      </c>
      <c r="C7" s="59" t="s">
        <v>17</v>
      </c>
      <c r="D7" s="94">
        <v>45992</v>
      </c>
      <c r="E7" s="91" t="s">
        <v>26</v>
      </c>
      <c r="F7" s="1">
        <v>750</v>
      </c>
      <c r="G7" s="33"/>
      <c r="H7" s="33">
        <f t="shared" si="0"/>
        <v>0</v>
      </c>
      <c r="I7" s="3">
        <v>1</v>
      </c>
      <c r="J7" s="3">
        <f t="shared" si="1"/>
        <v>750</v>
      </c>
      <c r="K7" s="2">
        <f t="shared" si="2"/>
        <v>750</v>
      </c>
      <c r="L7" s="4">
        <f t="shared" si="3"/>
        <v>1</v>
      </c>
      <c r="M7" s="101" t="s">
        <v>144</v>
      </c>
    </row>
    <row r="8" spans="1:13" ht="23.25" customHeight="1">
      <c r="A8" s="100"/>
      <c r="B8" s="96"/>
      <c r="C8" s="59" t="s">
        <v>145</v>
      </c>
      <c r="D8" s="96"/>
      <c r="E8" s="93"/>
      <c r="F8" s="1">
        <v>313.5</v>
      </c>
      <c r="G8" s="33"/>
      <c r="H8" s="33">
        <f t="shared" si="0"/>
        <v>0</v>
      </c>
      <c r="I8" s="3">
        <v>1</v>
      </c>
      <c r="J8" s="3">
        <f t="shared" si="1"/>
        <v>313.5</v>
      </c>
      <c r="K8" s="2">
        <f t="shared" si="2"/>
        <v>313.5</v>
      </c>
      <c r="L8" s="4">
        <f t="shared" si="3"/>
        <v>1</v>
      </c>
      <c r="M8" s="103"/>
    </row>
    <row r="9" spans="1:13" ht="23.25" customHeight="1">
      <c r="A9" s="98">
        <v>4</v>
      </c>
      <c r="B9" s="94">
        <v>45992</v>
      </c>
      <c r="C9" s="91" t="s">
        <v>146</v>
      </c>
      <c r="D9" s="94">
        <v>45992</v>
      </c>
      <c r="E9" s="50" t="s">
        <v>105</v>
      </c>
      <c r="F9" s="1">
        <v>275</v>
      </c>
      <c r="G9" s="33"/>
      <c r="H9" s="33">
        <f t="shared" si="0"/>
        <v>0</v>
      </c>
      <c r="I9" s="3">
        <v>3</v>
      </c>
      <c r="J9" s="3">
        <f t="shared" si="1"/>
        <v>825</v>
      </c>
      <c r="K9" s="2">
        <f t="shared" si="2"/>
        <v>825</v>
      </c>
      <c r="L9" s="4">
        <f t="shared" si="3"/>
        <v>3</v>
      </c>
      <c r="M9" s="46"/>
    </row>
    <row r="10" spans="1:13" ht="23.25" customHeight="1">
      <c r="A10" s="99"/>
      <c r="B10" s="95"/>
      <c r="C10" s="92"/>
      <c r="D10" s="95"/>
      <c r="E10" s="50" t="s">
        <v>123</v>
      </c>
      <c r="F10" s="1">
        <v>275</v>
      </c>
      <c r="G10" s="33"/>
      <c r="H10" s="33">
        <f t="shared" si="0"/>
        <v>0</v>
      </c>
      <c r="I10" s="3">
        <v>2</v>
      </c>
      <c r="J10" s="3">
        <f t="shared" si="1"/>
        <v>550</v>
      </c>
      <c r="K10" s="2">
        <f t="shared" si="2"/>
        <v>550</v>
      </c>
      <c r="L10" s="4">
        <f t="shared" si="3"/>
        <v>2</v>
      </c>
      <c r="M10" s="46"/>
    </row>
    <row r="11" spans="1:13">
      <c r="A11" s="100"/>
      <c r="B11" s="96"/>
      <c r="C11" s="93"/>
      <c r="D11" s="96"/>
      <c r="E11" s="50" t="s">
        <v>38</v>
      </c>
      <c r="F11" s="1">
        <v>275</v>
      </c>
      <c r="G11" s="33"/>
      <c r="H11" s="33">
        <f t="shared" si="0"/>
        <v>0</v>
      </c>
      <c r="I11" s="3">
        <v>2</v>
      </c>
      <c r="J11" s="3">
        <f t="shared" si="1"/>
        <v>550</v>
      </c>
      <c r="K11" s="2">
        <f t="shared" si="2"/>
        <v>550</v>
      </c>
      <c r="L11" s="4">
        <f t="shared" si="3"/>
        <v>2</v>
      </c>
      <c r="M11" s="46"/>
    </row>
    <row r="12" spans="1:13" ht="23.25" customHeight="1">
      <c r="A12" s="98">
        <v>5</v>
      </c>
      <c r="B12" s="108">
        <v>45992</v>
      </c>
      <c r="C12" s="91" t="s">
        <v>147</v>
      </c>
      <c r="D12" s="94">
        <v>45992</v>
      </c>
      <c r="E12" s="50" t="s">
        <v>68</v>
      </c>
      <c r="F12" s="1">
        <v>375</v>
      </c>
      <c r="G12" s="33"/>
      <c r="H12" s="33">
        <f t="shared" si="0"/>
        <v>0</v>
      </c>
      <c r="I12" s="3">
        <v>1</v>
      </c>
      <c r="J12" s="3">
        <f t="shared" si="1"/>
        <v>375</v>
      </c>
      <c r="K12" s="2">
        <f t="shared" si="2"/>
        <v>375</v>
      </c>
      <c r="L12" s="4">
        <f t="shared" si="3"/>
        <v>1</v>
      </c>
      <c r="M12" s="101" t="s">
        <v>148</v>
      </c>
    </row>
    <row r="13" spans="1:13" ht="23.25" customHeight="1">
      <c r="A13" s="100"/>
      <c r="B13" s="109"/>
      <c r="C13" s="93"/>
      <c r="D13" s="96"/>
      <c r="E13" s="50" t="s">
        <v>76</v>
      </c>
      <c r="F13" s="1">
        <v>375</v>
      </c>
      <c r="G13" s="33"/>
      <c r="H13" s="33">
        <f t="shared" si="0"/>
        <v>0</v>
      </c>
      <c r="I13" s="3">
        <v>1</v>
      </c>
      <c r="J13" s="3">
        <f t="shared" si="1"/>
        <v>375</v>
      </c>
      <c r="K13" s="2">
        <f t="shared" si="2"/>
        <v>375</v>
      </c>
      <c r="L13" s="4">
        <f t="shared" si="3"/>
        <v>1</v>
      </c>
      <c r="M13" s="103"/>
    </row>
    <row r="14" spans="1:13" ht="23.25" customHeight="1">
      <c r="A14" s="53">
        <v>6</v>
      </c>
      <c r="B14" s="76">
        <v>45993</v>
      </c>
      <c r="C14" s="60" t="s">
        <v>13</v>
      </c>
      <c r="D14" s="58">
        <v>45993</v>
      </c>
      <c r="E14" s="50" t="s">
        <v>15</v>
      </c>
      <c r="F14" s="1">
        <v>225</v>
      </c>
      <c r="G14" s="33">
        <v>1</v>
      </c>
      <c r="H14" s="33">
        <f t="shared" si="0"/>
        <v>225</v>
      </c>
      <c r="I14" s="3"/>
      <c r="J14" s="3">
        <f t="shared" si="1"/>
        <v>0</v>
      </c>
      <c r="K14" s="2">
        <f t="shared" si="2"/>
        <v>225</v>
      </c>
      <c r="L14" s="4">
        <f t="shared" si="3"/>
        <v>1</v>
      </c>
      <c r="M14" s="46"/>
    </row>
    <row r="15" spans="1:13" ht="23.25" customHeight="1">
      <c r="A15" s="98">
        <v>7</v>
      </c>
      <c r="B15" s="94">
        <v>45993</v>
      </c>
      <c r="C15" s="91" t="s">
        <v>29</v>
      </c>
      <c r="D15" s="94">
        <v>45993</v>
      </c>
      <c r="E15" s="63" t="s">
        <v>40</v>
      </c>
      <c r="F15" s="1">
        <v>275</v>
      </c>
      <c r="G15" s="33"/>
      <c r="H15" s="33">
        <f t="shared" si="0"/>
        <v>0</v>
      </c>
      <c r="I15" s="3">
        <v>2</v>
      </c>
      <c r="J15" s="3">
        <f t="shared" si="1"/>
        <v>550</v>
      </c>
      <c r="K15" s="2">
        <f t="shared" si="2"/>
        <v>550</v>
      </c>
      <c r="L15" s="4">
        <f t="shared" si="3"/>
        <v>2</v>
      </c>
      <c r="M15" s="46"/>
    </row>
    <row r="16" spans="1:13" ht="23.25" customHeight="1">
      <c r="A16" s="100"/>
      <c r="B16" s="96"/>
      <c r="C16" s="93"/>
      <c r="D16" s="96"/>
      <c r="E16" s="63" t="s">
        <v>149</v>
      </c>
      <c r="F16" s="1">
        <v>275</v>
      </c>
      <c r="G16" s="33">
        <v>1</v>
      </c>
      <c r="H16" s="33">
        <f t="shared" si="0"/>
        <v>275</v>
      </c>
      <c r="I16" s="3"/>
      <c r="J16" s="3">
        <f t="shared" si="1"/>
        <v>0</v>
      </c>
      <c r="K16" s="2">
        <f t="shared" si="2"/>
        <v>275</v>
      </c>
      <c r="L16" s="4">
        <f t="shared" si="3"/>
        <v>1</v>
      </c>
      <c r="M16" s="46"/>
    </row>
    <row r="17" spans="1:13" ht="23.25" customHeight="1">
      <c r="A17" s="98">
        <v>8</v>
      </c>
      <c r="B17" s="94">
        <v>45993</v>
      </c>
      <c r="C17" s="91" t="s">
        <v>150</v>
      </c>
      <c r="D17" s="94">
        <v>45993</v>
      </c>
      <c r="E17" s="63" t="s">
        <v>151</v>
      </c>
      <c r="F17" s="1">
        <v>250</v>
      </c>
      <c r="G17" s="33"/>
      <c r="H17" s="33">
        <f t="shared" si="0"/>
        <v>0</v>
      </c>
      <c r="I17" s="3">
        <v>2</v>
      </c>
      <c r="J17" s="3">
        <f t="shared" si="1"/>
        <v>500</v>
      </c>
      <c r="K17" s="2">
        <f t="shared" si="2"/>
        <v>500</v>
      </c>
      <c r="L17" s="4">
        <f t="shared" si="3"/>
        <v>2</v>
      </c>
      <c r="M17" s="101" t="s">
        <v>152</v>
      </c>
    </row>
    <row r="18" spans="1:13" ht="23.25" customHeight="1">
      <c r="A18" s="100"/>
      <c r="B18" s="96"/>
      <c r="C18" s="93"/>
      <c r="D18" s="96"/>
      <c r="E18" s="63" t="s">
        <v>63</v>
      </c>
      <c r="F18" s="1">
        <v>250</v>
      </c>
      <c r="G18" s="33"/>
      <c r="H18" s="33">
        <f t="shared" si="0"/>
        <v>0</v>
      </c>
      <c r="I18" s="3">
        <v>1</v>
      </c>
      <c r="J18" s="3">
        <f t="shared" si="1"/>
        <v>250</v>
      </c>
      <c r="K18" s="2">
        <f t="shared" si="2"/>
        <v>250</v>
      </c>
      <c r="L18" s="4">
        <f t="shared" si="3"/>
        <v>1</v>
      </c>
      <c r="M18" s="103"/>
    </row>
    <row r="19" spans="1:13" ht="23.25" customHeight="1">
      <c r="A19" s="52">
        <v>9</v>
      </c>
      <c r="B19" s="49">
        <v>45995</v>
      </c>
      <c r="C19" s="50" t="s">
        <v>24</v>
      </c>
      <c r="D19" s="49">
        <v>45995</v>
      </c>
      <c r="E19" s="63" t="s">
        <v>40</v>
      </c>
      <c r="F19" s="1">
        <v>200</v>
      </c>
      <c r="G19" s="33"/>
      <c r="H19" s="33">
        <f t="shared" ref="H19" si="4">F19*G19</f>
        <v>0</v>
      </c>
      <c r="I19" s="3">
        <v>2</v>
      </c>
      <c r="J19" s="3">
        <f t="shared" si="1"/>
        <v>400</v>
      </c>
      <c r="K19" s="2">
        <f t="shared" ref="K19" si="5">SUM(J19+H19)</f>
        <v>400</v>
      </c>
      <c r="L19" s="4">
        <f t="shared" ref="L19" si="6">SUM(G19+I19)</f>
        <v>2</v>
      </c>
      <c r="M19" s="71"/>
    </row>
    <row r="20" spans="1:13" ht="23.25" customHeight="1">
      <c r="A20" s="53">
        <v>10</v>
      </c>
      <c r="B20" s="76">
        <v>45995</v>
      </c>
      <c r="C20" s="60" t="s">
        <v>24</v>
      </c>
      <c r="D20" s="58">
        <v>45995</v>
      </c>
      <c r="E20" s="63" t="s">
        <v>39</v>
      </c>
      <c r="F20" s="1">
        <v>200</v>
      </c>
      <c r="G20" s="33"/>
      <c r="H20" s="33">
        <f t="shared" si="0"/>
        <v>0</v>
      </c>
      <c r="I20" s="3">
        <v>1</v>
      </c>
      <c r="J20" s="3">
        <f t="shared" si="1"/>
        <v>200</v>
      </c>
      <c r="K20" s="2">
        <f t="shared" si="2"/>
        <v>200</v>
      </c>
      <c r="L20" s="4">
        <f t="shared" si="3"/>
        <v>1</v>
      </c>
      <c r="M20" s="66"/>
    </row>
    <row r="21" spans="1:13" ht="23.25" customHeight="1">
      <c r="A21" s="53">
        <v>11</v>
      </c>
      <c r="B21" s="76">
        <v>45996</v>
      </c>
      <c r="C21" s="63" t="s">
        <v>33</v>
      </c>
      <c r="D21" s="58">
        <v>45996</v>
      </c>
      <c r="E21" s="60" t="s">
        <v>44</v>
      </c>
      <c r="F21" s="1">
        <v>180</v>
      </c>
      <c r="G21" s="33"/>
      <c r="H21" s="33">
        <f t="shared" si="0"/>
        <v>0</v>
      </c>
      <c r="I21" s="3">
        <v>13</v>
      </c>
      <c r="J21" s="3">
        <f t="shared" si="1"/>
        <v>2340</v>
      </c>
      <c r="K21" s="2">
        <f t="shared" si="2"/>
        <v>2340</v>
      </c>
      <c r="L21" s="4">
        <f t="shared" si="3"/>
        <v>13</v>
      </c>
      <c r="M21" s="66"/>
    </row>
    <row r="22" spans="1:13" ht="23.25" customHeight="1">
      <c r="A22" s="98">
        <v>12</v>
      </c>
      <c r="B22" s="94">
        <v>45997</v>
      </c>
      <c r="C22" s="63" t="s">
        <v>33</v>
      </c>
      <c r="D22" s="94">
        <v>45995</v>
      </c>
      <c r="E22" s="91" t="s">
        <v>34</v>
      </c>
      <c r="F22" s="1">
        <v>225</v>
      </c>
      <c r="G22" s="33"/>
      <c r="H22" s="33">
        <f>F22*G22</f>
        <v>0</v>
      </c>
      <c r="I22" s="3">
        <v>15</v>
      </c>
      <c r="J22" s="3">
        <f>SUM(I22*F22)</f>
        <v>3375</v>
      </c>
      <c r="K22" s="2">
        <f>SUM(J22+H22)</f>
        <v>3375</v>
      </c>
      <c r="L22" s="4">
        <f>SUM(G22+I22)</f>
        <v>15</v>
      </c>
      <c r="M22" s="66"/>
    </row>
    <row r="23" spans="1:13" ht="23.25" customHeight="1">
      <c r="A23" s="99"/>
      <c r="B23" s="95"/>
      <c r="C23" s="63" t="s">
        <v>153</v>
      </c>
      <c r="D23" s="95"/>
      <c r="E23" s="92"/>
      <c r="F23" s="1">
        <v>900</v>
      </c>
      <c r="G23" s="33"/>
      <c r="H23" s="33">
        <f t="shared" si="0"/>
        <v>0</v>
      </c>
      <c r="I23" s="3">
        <v>1</v>
      </c>
      <c r="J23" s="3">
        <f t="shared" si="1"/>
        <v>900</v>
      </c>
      <c r="K23" s="2">
        <f t="shared" si="2"/>
        <v>900</v>
      </c>
      <c r="L23" s="4">
        <f t="shared" si="3"/>
        <v>1</v>
      </c>
      <c r="M23" s="66"/>
    </row>
    <row r="24" spans="1:13" ht="23.25" customHeight="1">
      <c r="A24" s="100"/>
      <c r="B24" s="96"/>
      <c r="C24" s="63" t="s">
        <v>35</v>
      </c>
      <c r="D24" s="96"/>
      <c r="E24" s="93"/>
      <c r="F24" s="1">
        <v>260</v>
      </c>
      <c r="G24" s="33"/>
      <c r="H24" s="33">
        <f t="shared" si="0"/>
        <v>0</v>
      </c>
      <c r="I24" s="3">
        <v>1</v>
      </c>
      <c r="J24" s="3">
        <f t="shared" si="1"/>
        <v>260</v>
      </c>
      <c r="K24" s="2">
        <f t="shared" si="2"/>
        <v>260</v>
      </c>
      <c r="L24" s="4">
        <f t="shared" si="3"/>
        <v>1</v>
      </c>
      <c r="M24" s="46"/>
    </row>
    <row r="25" spans="1:13" ht="23.25" customHeight="1">
      <c r="A25" s="53">
        <v>13</v>
      </c>
      <c r="B25" s="76">
        <v>45997</v>
      </c>
      <c r="C25" s="60" t="s">
        <v>33</v>
      </c>
      <c r="D25" s="58">
        <v>45996</v>
      </c>
      <c r="E25" s="63" t="s">
        <v>45</v>
      </c>
      <c r="F25" s="1">
        <v>250</v>
      </c>
      <c r="G25" s="33"/>
      <c r="H25" s="33">
        <f t="shared" si="0"/>
        <v>0</v>
      </c>
      <c r="I25" s="3">
        <v>15</v>
      </c>
      <c r="J25" s="3">
        <f t="shared" si="1"/>
        <v>3750</v>
      </c>
      <c r="K25" s="2">
        <f t="shared" si="2"/>
        <v>3750</v>
      </c>
      <c r="L25" s="4">
        <f t="shared" si="3"/>
        <v>15</v>
      </c>
      <c r="M25" s="66"/>
    </row>
    <row r="26" spans="1:13" ht="23.25" customHeight="1">
      <c r="A26" s="53">
        <v>14</v>
      </c>
      <c r="B26" s="76">
        <v>45997</v>
      </c>
      <c r="C26" s="60" t="s">
        <v>33</v>
      </c>
      <c r="D26" s="58">
        <v>45997</v>
      </c>
      <c r="E26" s="63" t="s">
        <v>45</v>
      </c>
      <c r="F26" s="1">
        <v>250</v>
      </c>
      <c r="G26" s="33"/>
      <c r="H26" s="33">
        <f t="shared" si="0"/>
        <v>0</v>
      </c>
      <c r="I26" s="3">
        <v>13</v>
      </c>
      <c r="J26" s="3">
        <f t="shared" si="1"/>
        <v>3250</v>
      </c>
      <c r="K26" s="2">
        <f t="shared" si="2"/>
        <v>3250</v>
      </c>
      <c r="L26" s="4">
        <f t="shared" si="3"/>
        <v>13</v>
      </c>
      <c r="M26" s="55" t="s">
        <v>154</v>
      </c>
    </row>
    <row r="27" spans="1:13" ht="23.25" customHeight="1">
      <c r="A27" s="98">
        <v>15</v>
      </c>
      <c r="B27" s="94">
        <v>45997</v>
      </c>
      <c r="C27" s="63" t="s">
        <v>33</v>
      </c>
      <c r="D27" s="94">
        <v>45997</v>
      </c>
      <c r="E27" s="104" t="s">
        <v>34</v>
      </c>
      <c r="F27" s="1">
        <v>225</v>
      </c>
      <c r="G27" s="33"/>
      <c r="H27" s="33">
        <f t="shared" si="0"/>
        <v>0</v>
      </c>
      <c r="I27" s="3">
        <v>12</v>
      </c>
      <c r="J27" s="3">
        <f t="shared" si="1"/>
        <v>2700</v>
      </c>
      <c r="K27" s="2">
        <f t="shared" si="2"/>
        <v>2700</v>
      </c>
      <c r="L27" s="4">
        <f t="shared" si="3"/>
        <v>12</v>
      </c>
      <c r="M27" s="101" t="s">
        <v>157</v>
      </c>
    </row>
    <row r="28" spans="1:13" ht="23.25" customHeight="1">
      <c r="A28" s="99"/>
      <c r="B28" s="95"/>
      <c r="C28" s="63" t="s">
        <v>155</v>
      </c>
      <c r="D28" s="95"/>
      <c r="E28" s="105"/>
      <c r="F28" s="1">
        <v>80</v>
      </c>
      <c r="G28" s="33"/>
      <c r="H28" s="33">
        <f t="shared" si="0"/>
        <v>0</v>
      </c>
      <c r="I28" s="3">
        <v>27</v>
      </c>
      <c r="J28" s="3">
        <f t="shared" si="1"/>
        <v>2160</v>
      </c>
      <c r="K28" s="2">
        <f t="shared" si="2"/>
        <v>2160</v>
      </c>
      <c r="L28" s="4">
        <f t="shared" si="3"/>
        <v>27</v>
      </c>
      <c r="M28" s="102"/>
    </row>
    <row r="29" spans="1:13" ht="23.25" customHeight="1">
      <c r="A29" s="100"/>
      <c r="B29" s="96"/>
      <c r="C29" s="63" t="s">
        <v>156</v>
      </c>
      <c r="D29" s="96"/>
      <c r="E29" s="106"/>
      <c r="F29" s="1">
        <v>15</v>
      </c>
      <c r="G29" s="33"/>
      <c r="H29" s="33">
        <f t="shared" si="0"/>
        <v>0</v>
      </c>
      <c r="I29" s="3">
        <v>1</v>
      </c>
      <c r="J29" s="3">
        <f t="shared" si="1"/>
        <v>15</v>
      </c>
      <c r="K29" s="2">
        <f t="shared" si="2"/>
        <v>15</v>
      </c>
      <c r="L29" s="4">
        <f t="shared" si="3"/>
        <v>1</v>
      </c>
      <c r="M29" s="103"/>
    </row>
    <row r="30" spans="1:13" ht="23.25" customHeight="1">
      <c r="A30" s="53">
        <v>16</v>
      </c>
      <c r="B30" s="76">
        <v>45997</v>
      </c>
      <c r="C30" s="63" t="s">
        <v>33</v>
      </c>
      <c r="D30" s="58">
        <v>45995</v>
      </c>
      <c r="E30" s="63" t="s">
        <v>158</v>
      </c>
      <c r="F30" s="1">
        <v>180</v>
      </c>
      <c r="G30" s="33"/>
      <c r="H30" s="33">
        <f t="shared" si="0"/>
        <v>0</v>
      </c>
      <c r="I30" s="3">
        <v>7</v>
      </c>
      <c r="J30" s="3">
        <f t="shared" si="1"/>
        <v>1260</v>
      </c>
      <c r="K30" s="2">
        <f t="shared" si="2"/>
        <v>1260</v>
      </c>
      <c r="L30" s="4">
        <f t="shared" si="3"/>
        <v>7</v>
      </c>
      <c r="M30" s="46"/>
    </row>
    <row r="31" spans="1:13" ht="23.25" customHeight="1">
      <c r="A31" s="53">
        <v>17</v>
      </c>
      <c r="B31" s="76">
        <v>45998</v>
      </c>
      <c r="C31" s="63" t="s">
        <v>159</v>
      </c>
      <c r="D31" s="58">
        <v>45998</v>
      </c>
      <c r="E31" s="63" t="s">
        <v>58</v>
      </c>
      <c r="F31" s="1">
        <v>275</v>
      </c>
      <c r="G31" s="33"/>
      <c r="H31" s="33">
        <f t="shared" si="0"/>
        <v>0</v>
      </c>
      <c r="I31" s="3">
        <v>2</v>
      </c>
      <c r="J31" s="3">
        <f t="shared" si="1"/>
        <v>550</v>
      </c>
      <c r="K31" s="2">
        <f t="shared" si="2"/>
        <v>550</v>
      </c>
      <c r="L31" s="4">
        <f t="shared" si="3"/>
        <v>2</v>
      </c>
      <c r="M31" s="46"/>
    </row>
    <row r="32" spans="1:13" ht="23.25" customHeight="1">
      <c r="A32" s="98">
        <v>18</v>
      </c>
      <c r="B32" s="94">
        <v>45998</v>
      </c>
      <c r="C32" s="91" t="s">
        <v>159</v>
      </c>
      <c r="D32" s="94">
        <v>45998</v>
      </c>
      <c r="E32" s="63" t="s">
        <v>63</v>
      </c>
      <c r="F32" s="1">
        <v>275</v>
      </c>
      <c r="G32" s="33"/>
      <c r="H32" s="33">
        <f t="shared" si="0"/>
        <v>0</v>
      </c>
      <c r="I32" s="3">
        <v>1</v>
      </c>
      <c r="J32" s="3">
        <f t="shared" si="1"/>
        <v>275</v>
      </c>
      <c r="K32" s="2">
        <f t="shared" si="2"/>
        <v>275</v>
      </c>
      <c r="L32" s="4">
        <f t="shared" si="3"/>
        <v>1</v>
      </c>
      <c r="M32" s="46"/>
    </row>
    <row r="33" spans="1:13" ht="23.25" customHeight="1">
      <c r="A33" s="100"/>
      <c r="B33" s="96"/>
      <c r="C33" s="93"/>
      <c r="D33" s="96"/>
      <c r="E33" s="63" t="s">
        <v>160</v>
      </c>
      <c r="F33" s="1">
        <v>275</v>
      </c>
      <c r="G33" s="33"/>
      <c r="H33" s="33">
        <f t="shared" si="0"/>
        <v>0</v>
      </c>
      <c r="I33" s="3">
        <v>2</v>
      </c>
      <c r="J33" s="3">
        <f t="shared" si="1"/>
        <v>550</v>
      </c>
      <c r="K33" s="2">
        <f t="shared" si="2"/>
        <v>550</v>
      </c>
      <c r="L33" s="4">
        <f t="shared" si="3"/>
        <v>2</v>
      </c>
      <c r="M33" s="46"/>
    </row>
    <row r="34" spans="1:13" ht="23.25" customHeight="1">
      <c r="A34" s="53">
        <v>19</v>
      </c>
      <c r="B34" s="76">
        <v>45998</v>
      </c>
      <c r="C34" s="63" t="s">
        <v>161</v>
      </c>
      <c r="D34" s="58">
        <v>45998</v>
      </c>
      <c r="E34" s="63" t="s">
        <v>57</v>
      </c>
      <c r="F34" s="1">
        <v>275</v>
      </c>
      <c r="G34" s="33"/>
      <c r="H34" s="33">
        <f t="shared" si="0"/>
        <v>0</v>
      </c>
      <c r="I34" s="3">
        <v>2</v>
      </c>
      <c r="J34" s="3">
        <f t="shared" si="1"/>
        <v>550</v>
      </c>
      <c r="K34" s="2">
        <f t="shared" si="2"/>
        <v>550</v>
      </c>
      <c r="L34" s="4">
        <f t="shared" si="3"/>
        <v>2</v>
      </c>
      <c r="M34" s="46"/>
    </row>
    <row r="35" spans="1:13" ht="23.25" customHeight="1">
      <c r="A35" s="53">
        <v>20</v>
      </c>
      <c r="B35" s="76">
        <v>45998</v>
      </c>
      <c r="C35" s="63" t="s">
        <v>159</v>
      </c>
      <c r="D35" s="58">
        <v>45997</v>
      </c>
      <c r="E35" s="63" t="s">
        <v>48</v>
      </c>
      <c r="F35" s="1">
        <v>275</v>
      </c>
      <c r="G35" s="33"/>
      <c r="H35" s="33">
        <f t="shared" si="0"/>
        <v>0</v>
      </c>
      <c r="I35" s="3">
        <v>1</v>
      </c>
      <c r="J35" s="3">
        <f t="shared" si="1"/>
        <v>275</v>
      </c>
      <c r="K35" s="2">
        <f t="shared" si="2"/>
        <v>275</v>
      </c>
      <c r="L35" s="4">
        <f t="shared" si="3"/>
        <v>1</v>
      </c>
      <c r="M35" s="46"/>
    </row>
    <row r="36" spans="1:13" ht="23.25" customHeight="1">
      <c r="A36" s="53">
        <v>21</v>
      </c>
      <c r="B36" s="76">
        <v>45998</v>
      </c>
      <c r="C36" s="63" t="s">
        <v>159</v>
      </c>
      <c r="D36" s="58">
        <v>45995</v>
      </c>
      <c r="E36" s="63" t="s">
        <v>38</v>
      </c>
      <c r="F36" s="1">
        <v>275</v>
      </c>
      <c r="G36" s="33"/>
      <c r="H36" s="33">
        <f t="shared" si="0"/>
        <v>0</v>
      </c>
      <c r="I36" s="3">
        <v>2</v>
      </c>
      <c r="J36" s="3">
        <f t="shared" si="1"/>
        <v>550</v>
      </c>
      <c r="K36" s="2">
        <f t="shared" si="2"/>
        <v>550</v>
      </c>
      <c r="L36" s="4">
        <f t="shared" si="3"/>
        <v>2</v>
      </c>
      <c r="M36" s="46"/>
    </row>
    <row r="37" spans="1:13" ht="23.25" customHeight="1">
      <c r="A37" s="53">
        <v>22</v>
      </c>
      <c r="B37" s="76">
        <v>45998</v>
      </c>
      <c r="C37" s="63" t="s">
        <v>159</v>
      </c>
      <c r="D37" s="58">
        <v>45997</v>
      </c>
      <c r="E37" s="63" t="s">
        <v>47</v>
      </c>
      <c r="F37" s="1">
        <v>275</v>
      </c>
      <c r="G37" s="33"/>
      <c r="H37" s="33">
        <f t="shared" si="0"/>
        <v>0</v>
      </c>
      <c r="I37" s="3">
        <v>2</v>
      </c>
      <c r="J37" s="3">
        <f t="shared" si="1"/>
        <v>550</v>
      </c>
      <c r="K37" s="2">
        <f t="shared" si="2"/>
        <v>550</v>
      </c>
      <c r="L37" s="4">
        <f t="shared" si="3"/>
        <v>2</v>
      </c>
      <c r="M37" s="46"/>
    </row>
    <row r="38" spans="1:13" ht="23" customHeight="1">
      <c r="A38" s="53">
        <v>23</v>
      </c>
      <c r="B38" s="76">
        <v>45998</v>
      </c>
      <c r="C38" s="60" t="s">
        <v>161</v>
      </c>
      <c r="D38" s="58">
        <v>45996</v>
      </c>
      <c r="E38" s="60" t="s">
        <v>162</v>
      </c>
      <c r="F38" s="1">
        <v>275</v>
      </c>
      <c r="G38" s="33"/>
      <c r="H38" s="33">
        <f t="shared" si="0"/>
        <v>0</v>
      </c>
      <c r="I38" s="3">
        <v>2</v>
      </c>
      <c r="J38" s="3">
        <f t="shared" si="1"/>
        <v>550</v>
      </c>
      <c r="K38" s="2">
        <f t="shared" si="2"/>
        <v>550</v>
      </c>
      <c r="L38" s="4">
        <f t="shared" si="3"/>
        <v>2</v>
      </c>
      <c r="M38" s="66"/>
    </row>
    <row r="39" spans="1:13" ht="23.25" customHeight="1">
      <c r="A39" s="53">
        <v>24</v>
      </c>
      <c r="B39" s="76">
        <v>45998</v>
      </c>
      <c r="C39" s="60" t="s">
        <v>159</v>
      </c>
      <c r="D39" s="58">
        <v>45996</v>
      </c>
      <c r="E39" s="60" t="s">
        <v>43</v>
      </c>
      <c r="F39" s="1">
        <v>275</v>
      </c>
      <c r="G39" s="33"/>
      <c r="H39" s="33">
        <f t="shared" si="0"/>
        <v>0</v>
      </c>
      <c r="I39" s="3">
        <v>1</v>
      </c>
      <c r="J39" s="3">
        <f t="shared" si="1"/>
        <v>275</v>
      </c>
      <c r="K39" s="2">
        <f t="shared" si="2"/>
        <v>275</v>
      </c>
      <c r="L39" s="4">
        <f t="shared" si="3"/>
        <v>1</v>
      </c>
      <c r="M39" s="66"/>
    </row>
    <row r="40" spans="1:13" ht="23.25" customHeight="1">
      <c r="A40" s="53">
        <v>25</v>
      </c>
      <c r="B40" s="77">
        <v>45998</v>
      </c>
      <c r="C40" s="60" t="s">
        <v>41</v>
      </c>
      <c r="D40" s="61">
        <v>45996</v>
      </c>
      <c r="E40" s="63" t="s">
        <v>42</v>
      </c>
      <c r="F40" s="1">
        <v>225</v>
      </c>
      <c r="G40" s="33"/>
      <c r="H40" s="33">
        <f t="shared" si="0"/>
        <v>0</v>
      </c>
      <c r="I40" s="3">
        <v>1</v>
      </c>
      <c r="J40" s="3">
        <f t="shared" si="1"/>
        <v>225</v>
      </c>
      <c r="K40" s="2">
        <f t="shared" si="2"/>
        <v>225</v>
      </c>
      <c r="L40" s="4">
        <f t="shared" si="3"/>
        <v>1</v>
      </c>
      <c r="M40" s="46"/>
    </row>
    <row r="41" spans="1:13" ht="23.25" customHeight="1">
      <c r="A41" s="53">
        <v>26</v>
      </c>
      <c r="B41" s="77">
        <v>45999</v>
      </c>
      <c r="C41" s="60" t="s">
        <v>163</v>
      </c>
      <c r="D41" s="61">
        <v>46362</v>
      </c>
      <c r="E41" s="60" t="s">
        <v>46</v>
      </c>
      <c r="F41" s="1">
        <v>450</v>
      </c>
      <c r="G41" s="33"/>
      <c r="H41" s="33">
        <f t="shared" si="0"/>
        <v>0</v>
      </c>
      <c r="I41" s="3">
        <v>11</v>
      </c>
      <c r="J41" s="3">
        <f t="shared" si="1"/>
        <v>4950</v>
      </c>
      <c r="K41" s="2">
        <f t="shared" si="2"/>
        <v>4950</v>
      </c>
      <c r="L41" s="4">
        <f t="shared" si="3"/>
        <v>11</v>
      </c>
      <c r="M41" s="66"/>
    </row>
    <row r="42" spans="1:13" ht="23.25" customHeight="1">
      <c r="A42" s="53">
        <v>27</v>
      </c>
      <c r="B42" s="77">
        <v>46000</v>
      </c>
      <c r="C42" s="60" t="s">
        <v>17</v>
      </c>
      <c r="D42" s="61">
        <v>46001</v>
      </c>
      <c r="E42" s="60" t="s">
        <v>67</v>
      </c>
      <c r="F42" s="1">
        <v>4200</v>
      </c>
      <c r="G42" s="33"/>
      <c r="H42" s="33">
        <f t="shared" si="0"/>
        <v>0</v>
      </c>
      <c r="I42" s="3">
        <v>1</v>
      </c>
      <c r="J42" s="3">
        <f t="shared" si="1"/>
        <v>4200</v>
      </c>
      <c r="K42" s="2">
        <f t="shared" si="2"/>
        <v>4200</v>
      </c>
      <c r="L42" s="4">
        <f t="shared" si="3"/>
        <v>1</v>
      </c>
      <c r="M42" s="66" t="s">
        <v>164</v>
      </c>
    </row>
    <row r="43" spans="1:13" ht="23.25" customHeight="1">
      <c r="A43" s="53">
        <v>28</v>
      </c>
      <c r="B43" s="77">
        <v>46001</v>
      </c>
      <c r="C43" s="60" t="s">
        <v>41</v>
      </c>
      <c r="D43" s="61">
        <v>46001</v>
      </c>
      <c r="E43" s="60" t="s">
        <v>165</v>
      </c>
      <c r="F43" s="1">
        <v>650</v>
      </c>
      <c r="G43" s="33">
        <v>2</v>
      </c>
      <c r="H43" s="33">
        <f t="shared" ref="H43" si="7">F43*G43</f>
        <v>1300</v>
      </c>
      <c r="I43" s="3"/>
      <c r="J43" s="3">
        <f t="shared" si="1"/>
        <v>0</v>
      </c>
      <c r="K43" s="2">
        <f t="shared" ref="K43" si="8">SUM(J43+H43)</f>
        <v>1300</v>
      </c>
      <c r="L43" s="4"/>
      <c r="M43" s="66"/>
    </row>
    <row r="44" spans="1:13" ht="23.25" customHeight="1">
      <c r="A44" s="53">
        <v>29</v>
      </c>
      <c r="B44" s="77">
        <v>46002</v>
      </c>
      <c r="C44" s="60" t="s">
        <v>41</v>
      </c>
      <c r="D44" s="61">
        <v>46002</v>
      </c>
      <c r="E44" s="60" t="s">
        <v>165</v>
      </c>
      <c r="F44" s="1">
        <v>650</v>
      </c>
      <c r="G44" s="33">
        <v>2</v>
      </c>
      <c r="H44" s="33">
        <f t="shared" si="0"/>
        <v>1300</v>
      </c>
      <c r="I44" s="3"/>
      <c r="J44" s="3">
        <f t="shared" si="1"/>
        <v>0</v>
      </c>
      <c r="K44" s="2">
        <f t="shared" si="2"/>
        <v>1300</v>
      </c>
      <c r="L44" s="4">
        <f t="shared" si="3"/>
        <v>2</v>
      </c>
      <c r="M44" s="66"/>
    </row>
    <row r="45" spans="1:13" ht="23.25" customHeight="1">
      <c r="A45" s="53">
        <v>30</v>
      </c>
      <c r="B45" s="77">
        <v>46002</v>
      </c>
      <c r="C45" s="60" t="s">
        <v>163</v>
      </c>
      <c r="D45" s="61">
        <v>46000</v>
      </c>
      <c r="E45" s="60" t="s">
        <v>66</v>
      </c>
      <c r="F45" s="1">
        <v>350</v>
      </c>
      <c r="G45" s="33"/>
      <c r="H45" s="33">
        <f t="shared" si="0"/>
        <v>0</v>
      </c>
      <c r="I45" s="3">
        <v>23</v>
      </c>
      <c r="J45" s="3">
        <f t="shared" si="1"/>
        <v>8050</v>
      </c>
      <c r="K45" s="2">
        <f t="shared" si="2"/>
        <v>8050</v>
      </c>
      <c r="L45" s="4">
        <f t="shared" si="3"/>
        <v>23</v>
      </c>
      <c r="M45" s="66"/>
    </row>
    <row r="46" spans="1:13" ht="23.25" customHeight="1">
      <c r="A46" s="98">
        <v>31</v>
      </c>
      <c r="B46" s="94">
        <v>46003</v>
      </c>
      <c r="C46" s="91" t="s">
        <v>166</v>
      </c>
      <c r="D46" s="94">
        <v>46003</v>
      </c>
      <c r="E46" s="63" t="s">
        <v>165</v>
      </c>
      <c r="F46" s="1">
        <v>475</v>
      </c>
      <c r="G46" s="33">
        <v>2</v>
      </c>
      <c r="H46" s="33">
        <f t="shared" si="0"/>
        <v>950</v>
      </c>
      <c r="I46" s="3"/>
      <c r="J46" s="3">
        <f t="shared" si="1"/>
        <v>0</v>
      </c>
      <c r="K46" s="2">
        <f t="shared" si="2"/>
        <v>950</v>
      </c>
      <c r="L46" s="4">
        <f t="shared" si="3"/>
        <v>2</v>
      </c>
      <c r="M46" s="112" t="s">
        <v>167</v>
      </c>
    </row>
    <row r="47" spans="1:13" ht="23.25" customHeight="1">
      <c r="A47" s="100"/>
      <c r="B47" s="96"/>
      <c r="C47" s="93"/>
      <c r="D47" s="96"/>
      <c r="E47" s="63" t="s">
        <v>73</v>
      </c>
      <c r="F47" s="1">
        <v>475</v>
      </c>
      <c r="G47" s="33"/>
      <c r="H47" s="33">
        <f t="shared" si="0"/>
        <v>0</v>
      </c>
      <c r="I47" s="3">
        <v>1</v>
      </c>
      <c r="J47" s="3">
        <f t="shared" si="1"/>
        <v>475</v>
      </c>
      <c r="K47" s="2">
        <f t="shared" si="2"/>
        <v>475</v>
      </c>
      <c r="L47" s="4">
        <f t="shared" si="3"/>
        <v>1</v>
      </c>
      <c r="M47" s="113"/>
    </row>
    <row r="48" spans="1:13" ht="23" customHeight="1">
      <c r="A48" s="98">
        <v>32</v>
      </c>
      <c r="B48" s="94">
        <v>46003</v>
      </c>
      <c r="C48" s="60" t="s">
        <v>41</v>
      </c>
      <c r="D48" s="94">
        <v>46003</v>
      </c>
      <c r="E48" s="91" t="s">
        <v>74</v>
      </c>
      <c r="F48" s="1">
        <v>550</v>
      </c>
      <c r="G48" s="33">
        <v>1</v>
      </c>
      <c r="H48" s="33">
        <f t="shared" si="0"/>
        <v>550</v>
      </c>
      <c r="I48" s="3"/>
      <c r="J48" s="3">
        <f t="shared" si="1"/>
        <v>0</v>
      </c>
      <c r="K48" s="2">
        <f t="shared" si="2"/>
        <v>550</v>
      </c>
      <c r="L48" s="4">
        <f t="shared" si="3"/>
        <v>1</v>
      </c>
      <c r="M48" s="66"/>
    </row>
    <row r="49" spans="1:13" ht="23.25" customHeight="1">
      <c r="A49" s="100"/>
      <c r="B49" s="96"/>
      <c r="C49" s="60" t="s">
        <v>168</v>
      </c>
      <c r="D49" s="96"/>
      <c r="E49" s="93"/>
      <c r="F49" s="1">
        <v>100</v>
      </c>
      <c r="G49" s="33">
        <v>1</v>
      </c>
      <c r="H49" s="33">
        <f t="shared" si="0"/>
        <v>100</v>
      </c>
      <c r="I49" s="3"/>
      <c r="J49" s="3">
        <f t="shared" si="1"/>
        <v>0</v>
      </c>
      <c r="K49" s="2">
        <f t="shared" si="2"/>
        <v>100</v>
      </c>
      <c r="L49" s="4">
        <f t="shared" si="3"/>
        <v>1</v>
      </c>
      <c r="M49" s="66"/>
    </row>
    <row r="50" spans="1:13" ht="23.25" customHeight="1">
      <c r="A50" s="98">
        <v>33</v>
      </c>
      <c r="B50" s="94">
        <v>46004</v>
      </c>
      <c r="C50" s="91" t="s">
        <v>77</v>
      </c>
      <c r="D50" s="94">
        <v>46004</v>
      </c>
      <c r="E50" s="63" t="s">
        <v>78</v>
      </c>
      <c r="F50" s="1">
        <v>300</v>
      </c>
      <c r="G50" s="33"/>
      <c r="H50" s="33">
        <f t="shared" si="0"/>
        <v>0</v>
      </c>
      <c r="I50" s="3">
        <v>3</v>
      </c>
      <c r="J50" s="3">
        <f t="shared" si="1"/>
        <v>900</v>
      </c>
      <c r="K50" s="2">
        <f t="shared" si="2"/>
        <v>900</v>
      </c>
      <c r="L50" s="4">
        <f t="shared" si="3"/>
        <v>3</v>
      </c>
      <c r="M50" s="66"/>
    </row>
    <row r="51" spans="1:13" ht="23.25" customHeight="1">
      <c r="A51" s="100"/>
      <c r="B51" s="96"/>
      <c r="C51" s="93"/>
      <c r="D51" s="96"/>
      <c r="E51" s="63" t="s">
        <v>79</v>
      </c>
      <c r="F51" s="1">
        <v>300</v>
      </c>
      <c r="G51" s="33"/>
      <c r="H51" s="33">
        <f t="shared" si="0"/>
        <v>0</v>
      </c>
      <c r="I51" s="3">
        <v>2</v>
      </c>
      <c r="J51" s="3">
        <f t="shared" si="1"/>
        <v>600</v>
      </c>
      <c r="K51" s="2">
        <f t="shared" si="2"/>
        <v>600</v>
      </c>
      <c r="L51" s="4">
        <f t="shared" si="3"/>
        <v>2</v>
      </c>
      <c r="M51" s="66"/>
    </row>
    <row r="52" spans="1:13" ht="23.25" customHeight="1">
      <c r="A52" s="53">
        <v>34</v>
      </c>
      <c r="B52" s="76">
        <v>46004</v>
      </c>
      <c r="C52" s="60" t="s">
        <v>59</v>
      </c>
      <c r="D52" s="58">
        <v>45996</v>
      </c>
      <c r="E52" s="63" t="s">
        <v>43</v>
      </c>
      <c r="F52" s="1">
        <v>300</v>
      </c>
      <c r="G52" s="33"/>
      <c r="H52" s="33">
        <f t="shared" si="0"/>
        <v>0</v>
      </c>
      <c r="I52" s="3">
        <v>1</v>
      </c>
      <c r="J52" s="3">
        <f t="shared" si="1"/>
        <v>300</v>
      </c>
      <c r="K52" s="2">
        <f t="shared" si="2"/>
        <v>300</v>
      </c>
      <c r="L52" s="4">
        <f t="shared" si="3"/>
        <v>1</v>
      </c>
      <c r="M52" s="46"/>
    </row>
    <row r="53" spans="1:13" ht="23.25" customHeight="1">
      <c r="A53" s="53">
        <v>35</v>
      </c>
      <c r="B53" s="76">
        <v>46004</v>
      </c>
      <c r="C53" s="60" t="s">
        <v>59</v>
      </c>
      <c r="D53" s="58">
        <v>45998</v>
      </c>
      <c r="E53" s="63" t="s">
        <v>58</v>
      </c>
      <c r="F53" s="1">
        <v>300</v>
      </c>
      <c r="G53" s="33"/>
      <c r="H53" s="33">
        <f t="shared" si="0"/>
        <v>0</v>
      </c>
      <c r="I53" s="3">
        <v>2</v>
      </c>
      <c r="J53" s="3">
        <f t="shared" si="1"/>
        <v>600</v>
      </c>
      <c r="K53" s="2">
        <f t="shared" si="2"/>
        <v>600</v>
      </c>
      <c r="L53" s="4">
        <f t="shared" si="3"/>
        <v>2</v>
      </c>
      <c r="M53" s="46"/>
    </row>
    <row r="54" spans="1:13" ht="23.25" customHeight="1">
      <c r="A54" s="53">
        <v>36</v>
      </c>
      <c r="B54" s="76">
        <v>46004</v>
      </c>
      <c r="C54" s="60" t="s">
        <v>163</v>
      </c>
      <c r="D54" s="58">
        <v>45998</v>
      </c>
      <c r="E54" s="63" t="s">
        <v>60</v>
      </c>
      <c r="F54" s="1">
        <v>350</v>
      </c>
      <c r="G54" s="33"/>
      <c r="H54" s="33">
        <f t="shared" si="0"/>
        <v>0</v>
      </c>
      <c r="I54" s="3">
        <v>15</v>
      </c>
      <c r="J54" s="3">
        <f t="shared" si="1"/>
        <v>5250</v>
      </c>
      <c r="K54" s="2">
        <f t="shared" si="2"/>
        <v>5250</v>
      </c>
      <c r="L54" s="4">
        <f t="shared" si="3"/>
        <v>15</v>
      </c>
      <c r="M54" s="46"/>
    </row>
    <row r="55" spans="1:13" ht="23.25" customHeight="1">
      <c r="A55" s="53">
        <v>37</v>
      </c>
      <c r="B55" s="76">
        <v>46005</v>
      </c>
      <c r="C55" s="60" t="s">
        <v>13</v>
      </c>
      <c r="D55" s="58">
        <v>46005</v>
      </c>
      <c r="E55" s="63" t="s">
        <v>80</v>
      </c>
      <c r="F55" s="1">
        <v>180</v>
      </c>
      <c r="G55" s="33"/>
      <c r="H55" s="33">
        <f t="shared" si="0"/>
        <v>0</v>
      </c>
      <c r="I55" s="3">
        <v>4</v>
      </c>
      <c r="J55" s="3">
        <f t="shared" si="1"/>
        <v>720</v>
      </c>
      <c r="K55" s="2">
        <f t="shared" si="2"/>
        <v>720</v>
      </c>
      <c r="L55" s="4">
        <f t="shared" si="3"/>
        <v>4</v>
      </c>
      <c r="M55" s="46"/>
    </row>
    <row r="56" spans="1:13" ht="23.25" customHeight="1">
      <c r="A56" s="53">
        <v>38</v>
      </c>
      <c r="B56" s="76">
        <v>46005</v>
      </c>
      <c r="C56" s="60" t="s">
        <v>169</v>
      </c>
      <c r="D56" s="58">
        <v>45997</v>
      </c>
      <c r="E56" s="63" t="s">
        <v>49</v>
      </c>
      <c r="F56" s="1">
        <v>400</v>
      </c>
      <c r="G56" s="33"/>
      <c r="H56" s="33">
        <f t="shared" si="0"/>
        <v>0</v>
      </c>
      <c r="I56" s="3">
        <v>3</v>
      </c>
      <c r="J56" s="3">
        <f t="shared" si="1"/>
        <v>1200</v>
      </c>
      <c r="K56" s="2">
        <f t="shared" si="2"/>
        <v>1200</v>
      </c>
      <c r="L56" s="4">
        <f t="shared" si="3"/>
        <v>3</v>
      </c>
      <c r="M56" s="46"/>
    </row>
    <row r="57" spans="1:13" ht="23.25" customHeight="1">
      <c r="A57" s="53">
        <v>39</v>
      </c>
      <c r="B57" s="76">
        <v>46007</v>
      </c>
      <c r="C57" s="60" t="s">
        <v>88</v>
      </c>
      <c r="D57" s="58">
        <v>46008</v>
      </c>
      <c r="E57" s="80" t="s">
        <v>170</v>
      </c>
      <c r="F57" s="1">
        <v>425</v>
      </c>
      <c r="G57" s="33"/>
      <c r="H57" s="33">
        <f t="shared" si="0"/>
        <v>0</v>
      </c>
      <c r="I57" s="3">
        <v>1</v>
      </c>
      <c r="J57" s="3">
        <f t="shared" si="1"/>
        <v>425</v>
      </c>
      <c r="K57" s="2">
        <f t="shared" si="2"/>
        <v>425</v>
      </c>
      <c r="L57" s="4">
        <f t="shared" si="3"/>
        <v>1</v>
      </c>
      <c r="M57" s="46" t="s">
        <v>224</v>
      </c>
    </row>
    <row r="58" spans="1:13" ht="23.25" customHeight="1">
      <c r="A58" s="53">
        <v>40</v>
      </c>
      <c r="B58" s="76">
        <v>46007</v>
      </c>
      <c r="C58" s="63" t="s">
        <v>171</v>
      </c>
      <c r="D58" s="58">
        <v>46001</v>
      </c>
      <c r="E58" s="63" t="s">
        <v>69</v>
      </c>
      <c r="F58" s="1">
        <v>500</v>
      </c>
      <c r="G58" s="33"/>
      <c r="H58" s="33">
        <f t="shared" si="0"/>
        <v>0</v>
      </c>
      <c r="I58" s="3">
        <v>2</v>
      </c>
      <c r="J58" s="3">
        <f t="shared" si="1"/>
        <v>1000</v>
      </c>
      <c r="K58" s="2">
        <f t="shared" si="2"/>
        <v>1000</v>
      </c>
      <c r="L58" s="4">
        <f t="shared" si="3"/>
        <v>2</v>
      </c>
      <c r="M58" s="46"/>
    </row>
    <row r="59" spans="1:13" ht="23.25" customHeight="1">
      <c r="A59" s="98">
        <v>41</v>
      </c>
      <c r="B59" s="94">
        <v>46008</v>
      </c>
      <c r="C59" s="91" t="s">
        <v>172</v>
      </c>
      <c r="D59" s="94">
        <v>46008</v>
      </c>
      <c r="E59" s="63" t="s">
        <v>96</v>
      </c>
      <c r="F59" s="1">
        <v>225</v>
      </c>
      <c r="G59" s="33"/>
      <c r="H59" s="33">
        <f t="shared" si="0"/>
        <v>0</v>
      </c>
      <c r="I59" s="3">
        <v>3</v>
      </c>
      <c r="J59" s="3">
        <f t="shared" si="1"/>
        <v>675</v>
      </c>
      <c r="K59" s="2">
        <f t="shared" si="2"/>
        <v>675</v>
      </c>
      <c r="L59" s="4">
        <f t="shared" si="3"/>
        <v>3</v>
      </c>
      <c r="M59" s="65"/>
    </row>
    <row r="60" spans="1:13" ht="23.25" customHeight="1">
      <c r="A60" s="99"/>
      <c r="B60" s="95"/>
      <c r="C60" s="92"/>
      <c r="D60" s="95"/>
      <c r="E60" s="63" t="s">
        <v>173</v>
      </c>
      <c r="F60" s="1">
        <v>225</v>
      </c>
      <c r="G60" s="33"/>
      <c r="H60" s="33">
        <f t="shared" si="0"/>
        <v>0</v>
      </c>
      <c r="I60" s="3">
        <v>3</v>
      </c>
      <c r="J60" s="3">
        <f t="shared" si="1"/>
        <v>675</v>
      </c>
      <c r="K60" s="2">
        <f t="shared" si="2"/>
        <v>675</v>
      </c>
      <c r="L60" s="4">
        <f t="shared" si="3"/>
        <v>3</v>
      </c>
      <c r="M60" s="46"/>
    </row>
    <row r="61" spans="1:13" ht="23.25" customHeight="1">
      <c r="A61" s="100"/>
      <c r="B61" s="96"/>
      <c r="C61" s="93"/>
      <c r="D61" s="96"/>
      <c r="E61" s="63" t="s">
        <v>102</v>
      </c>
      <c r="F61" s="1">
        <v>225</v>
      </c>
      <c r="G61" s="33"/>
      <c r="H61" s="33">
        <f t="shared" si="0"/>
        <v>0</v>
      </c>
      <c r="I61" s="3">
        <v>3</v>
      </c>
      <c r="J61" s="3">
        <f t="shared" si="1"/>
        <v>675</v>
      </c>
      <c r="K61" s="2">
        <f t="shared" si="2"/>
        <v>675</v>
      </c>
      <c r="L61" s="4">
        <f t="shared" si="3"/>
        <v>3</v>
      </c>
      <c r="M61" s="46"/>
    </row>
    <row r="62" spans="1:13" ht="23.25" customHeight="1">
      <c r="A62" s="98">
        <v>42</v>
      </c>
      <c r="B62" s="94">
        <v>46008</v>
      </c>
      <c r="C62" s="91" t="s">
        <v>172</v>
      </c>
      <c r="D62" s="94">
        <v>46007</v>
      </c>
      <c r="E62" s="63" t="s">
        <v>90</v>
      </c>
      <c r="F62" s="1">
        <v>225</v>
      </c>
      <c r="G62" s="33"/>
      <c r="H62" s="33">
        <f t="shared" si="0"/>
        <v>0</v>
      </c>
      <c r="I62" s="3">
        <v>4</v>
      </c>
      <c r="J62" s="3">
        <f t="shared" si="1"/>
        <v>900</v>
      </c>
      <c r="K62" s="2">
        <f t="shared" si="2"/>
        <v>900</v>
      </c>
      <c r="L62" s="4">
        <f t="shared" si="3"/>
        <v>4</v>
      </c>
      <c r="M62" s="46"/>
    </row>
    <row r="63" spans="1:13" ht="23.25" customHeight="1">
      <c r="A63" s="100"/>
      <c r="B63" s="96"/>
      <c r="C63" s="93"/>
      <c r="D63" s="96"/>
      <c r="E63" s="63" t="s">
        <v>91</v>
      </c>
      <c r="F63" s="1">
        <v>225</v>
      </c>
      <c r="G63" s="33"/>
      <c r="H63" s="33">
        <f t="shared" si="0"/>
        <v>0</v>
      </c>
      <c r="I63" s="3">
        <v>1</v>
      </c>
      <c r="J63" s="3">
        <f t="shared" si="1"/>
        <v>225</v>
      </c>
      <c r="K63" s="2">
        <f t="shared" si="2"/>
        <v>225</v>
      </c>
      <c r="L63" s="4">
        <f t="shared" si="3"/>
        <v>1</v>
      </c>
      <c r="M63" s="46"/>
    </row>
    <row r="64" spans="1:13" ht="23.25" customHeight="1">
      <c r="A64" s="53">
        <v>43</v>
      </c>
      <c r="B64" s="76">
        <v>46008</v>
      </c>
      <c r="C64" s="60" t="s">
        <v>88</v>
      </c>
      <c r="D64" s="58">
        <v>46008</v>
      </c>
      <c r="E64" s="80" t="s">
        <v>174</v>
      </c>
      <c r="F64" s="1">
        <v>425</v>
      </c>
      <c r="G64" s="33"/>
      <c r="H64" s="33">
        <f t="shared" si="0"/>
        <v>0</v>
      </c>
      <c r="I64" s="3">
        <v>1</v>
      </c>
      <c r="J64" s="3">
        <f t="shared" si="1"/>
        <v>425</v>
      </c>
      <c r="K64" s="2">
        <f t="shared" si="2"/>
        <v>425</v>
      </c>
      <c r="L64" s="4">
        <f t="shared" si="3"/>
        <v>1</v>
      </c>
      <c r="M64" s="46" t="s">
        <v>225</v>
      </c>
    </row>
    <row r="65" spans="1:13" ht="23.25" customHeight="1">
      <c r="A65" s="98">
        <v>44</v>
      </c>
      <c r="B65" s="94">
        <v>46008</v>
      </c>
      <c r="C65" s="91" t="s">
        <v>172</v>
      </c>
      <c r="D65" s="94">
        <v>45995</v>
      </c>
      <c r="E65" s="63" t="s">
        <v>36</v>
      </c>
      <c r="F65" s="1">
        <v>225</v>
      </c>
      <c r="G65" s="33"/>
      <c r="H65" s="33">
        <f t="shared" si="0"/>
        <v>0</v>
      </c>
      <c r="I65" s="3">
        <v>2</v>
      </c>
      <c r="J65" s="3">
        <f t="shared" si="1"/>
        <v>450</v>
      </c>
      <c r="K65" s="2">
        <f t="shared" si="2"/>
        <v>450</v>
      </c>
      <c r="L65" s="4">
        <f t="shared" si="3"/>
        <v>2</v>
      </c>
      <c r="M65" s="46"/>
    </row>
    <row r="66" spans="1:13" ht="23.25" customHeight="1">
      <c r="A66" s="99"/>
      <c r="B66" s="95"/>
      <c r="C66" s="92"/>
      <c r="D66" s="95"/>
      <c r="E66" s="60" t="s">
        <v>36</v>
      </c>
      <c r="F66" s="1">
        <v>225</v>
      </c>
      <c r="G66" s="33"/>
      <c r="H66" s="33">
        <f>F66*G66</f>
        <v>0</v>
      </c>
      <c r="I66" s="3">
        <v>3</v>
      </c>
      <c r="J66" s="3">
        <f>SUM(I66*F66)</f>
        <v>675</v>
      </c>
      <c r="K66" s="2">
        <f>SUM(J66+H66)</f>
        <v>675</v>
      </c>
      <c r="L66" s="4">
        <f>SUM(G66+I66)</f>
        <v>3</v>
      </c>
      <c r="M66" s="46"/>
    </row>
    <row r="67" spans="1:13" ht="23.25" customHeight="1">
      <c r="A67" s="100"/>
      <c r="B67" s="96"/>
      <c r="C67" s="93"/>
      <c r="D67" s="96"/>
      <c r="E67" s="60" t="s">
        <v>37</v>
      </c>
      <c r="F67" s="1">
        <v>225</v>
      </c>
      <c r="G67" s="33"/>
      <c r="H67" s="33">
        <f t="shared" si="0"/>
        <v>0</v>
      </c>
      <c r="I67" s="3">
        <v>2</v>
      </c>
      <c r="J67" s="3">
        <f t="shared" si="1"/>
        <v>450</v>
      </c>
      <c r="K67" s="2">
        <f t="shared" si="2"/>
        <v>450</v>
      </c>
      <c r="L67" s="4">
        <f t="shared" si="3"/>
        <v>2</v>
      </c>
      <c r="M67" s="46"/>
    </row>
    <row r="68" spans="1:13" ht="23.25" customHeight="1">
      <c r="A68" s="98">
        <v>45</v>
      </c>
      <c r="B68" s="94">
        <v>46008</v>
      </c>
      <c r="C68" s="91" t="s">
        <v>172</v>
      </c>
      <c r="D68" s="94">
        <v>45995</v>
      </c>
      <c r="E68" s="63" t="s">
        <v>31</v>
      </c>
      <c r="F68" s="1">
        <v>225</v>
      </c>
      <c r="G68" s="33"/>
      <c r="H68" s="33">
        <f t="shared" si="0"/>
        <v>0</v>
      </c>
      <c r="I68" s="3">
        <v>2</v>
      </c>
      <c r="J68" s="3">
        <f t="shared" si="1"/>
        <v>450</v>
      </c>
      <c r="K68" s="2">
        <f t="shared" si="2"/>
        <v>450</v>
      </c>
      <c r="L68" s="4">
        <f t="shared" si="3"/>
        <v>2</v>
      </c>
      <c r="M68" s="46"/>
    </row>
    <row r="69" spans="1:13" ht="23.25" customHeight="1">
      <c r="A69" s="100"/>
      <c r="B69" s="96"/>
      <c r="C69" s="93"/>
      <c r="D69" s="96"/>
      <c r="E69" s="63" t="s">
        <v>32</v>
      </c>
      <c r="F69" s="1">
        <v>225</v>
      </c>
      <c r="G69" s="33"/>
      <c r="H69" s="33">
        <f t="shared" si="0"/>
        <v>0</v>
      </c>
      <c r="I69" s="3">
        <v>1</v>
      </c>
      <c r="J69" s="3">
        <f t="shared" si="1"/>
        <v>225</v>
      </c>
      <c r="K69" s="2">
        <f t="shared" si="2"/>
        <v>225</v>
      </c>
      <c r="L69" s="4">
        <f t="shared" si="3"/>
        <v>1</v>
      </c>
      <c r="M69" s="46"/>
    </row>
    <row r="70" spans="1:13" ht="23.25" customHeight="1">
      <c r="A70" s="53">
        <v>46</v>
      </c>
      <c r="B70" s="76">
        <v>46009</v>
      </c>
      <c r="C70" s="63" t="s">
        <v>81</v>
      </c>
      <c r="D70" s="58">
        <v>46005</v>
      </c>
      <c r="E70" s="63" t="s">
        <v>40</v>
      </c>
      <c r="F70" s="1">
        <v>200</v>
      </c>
      <c r="G70" s="33"/>
      <c r="H70" s="33">
        <f>F70*G70</f>
        <v>0</v>
      </c>
      <c r="I70" s="3">
        <v>4</v>
      </c>
      <c r="J70" s="3">
        <f>SUM(I70*F70)</f>
        <v>800</v>
      </c>
      <c r="K70" s="2">
        <f>SUM(J70+H70)</f>
        <v>800</v>
      </c>
      <c r="L70" s="4">
        <f>SUM(G70+I70)</f>
        <v>4</v>
      </c>
      <c r="M70" s="46"/>
    </row>
    <row r="71" spans="1:13" ht="23.25" customHeight="1">
      <c r="A71" s="53">
        <v>47</v>
      </c>
      <c r="B71" s="76">
        <v>46009</v>
      </c>
      <c r="C71" s="60" t="s">
        <v>163</v>
      </c>
      <c r="D71" s="58">
        <v>45995</v>
      </c>
      <c r="E71" s="63" t="s">
        <v>30</v>
      </c>
      <c r="F71" s="1">
        <v>450</v>
      </c>
      <c r="G71" s="33"/>
      <c r="H71" s="33">
        <f t="shared" si="0"/>
        <v>0</v>
      </c>
      <c r="I71" s="3">
        <v>11</v>
      </c>
      <c r="J71" s="3">
        <f t="shared" si="1"/>
        <v>4950</v>
      </c>
      <c r="K71" s="2">
        <f t="shared" si="2"/>
        <v>4950</v>
      </c>
      <c r="L71" s="4">
        <f t="shared" si="3"/>
        <v>11</v>
      </c>
      <c r="M71" s="66"/>
    </row>
    <row r="72" spans="1:13" ht="23.25" customHeight="1">
      <c r="A72" s="53">
        <v>48</v>
      </c>
      <c r="B72" s="76">
        <v>46010</v>
      </c>
      <c r="C72" s="60" t="s">
        <v>88</v>
      </c>
      <c r="D72" s="58">
        <v>46008</v>
      </c>
      <c r="E72" s="80" t="s">
        <v>179</v>
      </c>
      <c r="F72" s="1">
        <v>425</v>
      </c>
      <c r="G72" s="33"/>
      <c r="H72" s="33">
        <f t="shared" ref="H72" si="9">F72*G72</f>
        <v>0</v>
      </c>
      <c r="I72" s="3">
        <v>1</v>
      </c>
      <c r="J72" s="3">
        <f t="shared" si="1"/>
        <v>425</v>
      </c>
      <c r="K72" s="2">
        <f t="shared" ref="K72" si="10">SUM(J72+H72)</f>
        <v>425</v>
      </c>
      <c r="L72" s="4">
        <f t="shared" ref="L72" si="11">SUM(G72+I72)</f>
        <v>1</v>
      </c>
      <c r="M72" s="46" t="s">
        <v>225</v>
      </c>
    </row>
    <row r="73" spans="1:13" ht="23.25" customHeight="1">
      <c r="A73" s="53">
        <v>49</v>
      </c>
      <c r="B73" s="76">
        <v>46011</v>
      </c>
      <c r="C73" s="60" t="s">
        <v>159</v>
      </c>
      <c r="D73" s="58">
        <v>46004</v>
      </c>
      <c r="E73" s="63" t="s">
        <v>76</v>
      </c>
      <c r="F73" s="1">
        <v>275</v>
      </c>
      <c r="G73" s="33"/>
      <c r="H73" s="33">
        <f t="shared" si="0"/>
        <v>0</v>
      </c>
      <c r="I73" s="3">
        <v>1</v>
      </c>
      <c r="J73" s="3">
        <f t="shared" ref="J73:J192" si="12">SUM(I73*F73)</f>
        <v>275</v>
      </c>
      <c r="K73" s="2">
        <f t="shared" si="2"/>
        <v>275</v>
      </c>
      <c r="L73" s="4">
        <f t="shared" si="3"/>
        <v>1</v>
      </c>
      <c r="M73" s="66"/>
    </row>
    <row r="74" spans="1:13" ht="23.25" customHeight="1">
      <c r="A74" s="53">
        <v>50</v>
      </c>
      <c r="B74" s="76">
        <v>46011</v>
      </c>
      <c r="C74" s="60" t="s">
        <v>81</v>
      </c>
      <c r="D74" s="58">
        <v>46009</v>
      </c>
      <c r="E74" s="63" t="s">
        <v>75</v>
      </c>
      <c r="F74" s="1">
        <v>200</v>
      </c>
      <c r="G74" s="33"/>
      <c r="H74" s="33">
        <f t="shared" si="0"/>
        <v>0</v>
      </c>
      <c r="I74" s="3">
        <v>2</v>
      </c>
      <c r="J74" s="3">
        <f t="shared" si="12"/>
        <v>400</v>
      </c>
      <c r="K74" s="2">
        <f t="shared" si="2"/>
        <v>400</v>
      </c>
      <c r="L74" s="4">
        <f t="shared" si="3"/>
        <v>2</v>
      </c>
      <c r="M74" s="66"/>
    </row>
    <row r="75" spans="1:13" ht="23.25" customHeight="1">
      <c r="A75" s="98">
        <v>51</v>
      </c>
      <c r="B75" s="94">
        <v>46011</v>
      </c>
      <c r="C75" s="91" t="s">
        <v>159</v>
      </c>
      <c r="D75" s="94">
        <v>46009</v>
      </c>
      <c r="E75" s="63" t="s">
        <v>68</v>
      </c>
      <c r="F75" s="1">
        <v>275</v>
      </c>
      <c r="G75" s="33"/>
      <c r="H75" s="33">
        <f t="shared" si="0"/>
        <v>0</v>
      </c>
      <c r="I75" s="3">
        <v>1</v>
      </c>
      <c r="J75" s="3">
        <f t="shared" si="12"/>
        <v>275</v>
      </c>
      <c r="K75" s="2">
        <f t="shared" si="2"/>
        <v>275</v>
      </c>
      <c r="L75" s="4">
        <f t="shared" si="3"/>
        <v>1</v>
      </c>
      <c r="M75" s="66"/>
    </row>
    <row r="76" spans="1:13" ht="23.25" customHeight="1">
      <c r="A76" s="100"/>
      <c r="B76" s="96"/>
      <c r="C76" s="93"/>
      <c r="D76" s="96"/>
      <c r="E76" s="63" t="s">
        <v>98</v>
      </c>
      <c r="F76" s="1">
        <v>275</v>
      </c>
      <c r="G76" s="33"/>
      <c r="H76" s="33">
        <f t="shared" si="0"/>
        <v>0</v>
      </c>
      <c r="I76" s="3">
        <v>1</v>
      </c>
      <c r="J76" s="3">
        <f t="shared" si="12"/>
        <v>275</v>
      </c>
      <c r="K76" s="2">
        <f t="shared" si="2"/>
        <v>275</v>
      </c>
      <c r="L76" s="4">
        <f t="shared" si="3"/>
        <v>1</v>
      </c>
      <c r="M76" s="46"/>
    </row>
    <row r="77" spans="1:13" ht="23.25" customHeight="1">
      <c r="A77" s="98">
        <v>52</v>
      </c>
      <c r="B77" s="76">
        <v>46011</v>
      </c>
      <c r="C77" s="63" t="s">
        <v>159</v>
      </c>
      <c r="D77" s="94">
        <v>46011</v>
      </c>
      <c r="E77" s="91" t="s">
        <v>110</v>
      </c>
      <c r="F77" s="1">
        <v>275</v>
      </c>
      <c r="G77" s="33"/>
      <c r="H77" s="33">
        <f t="shared" si="0"/>
        <v>0</v>
      </c>
      <c r="I77" s="3">
        <v>1</v>
      </c>
      <c r="J77" s="3">
        <f t="shared" si="12"/>
        <v>275</v>
      </c>
      <c r="K77" s="2">
        <f t="shared" si="2"/>
        <v>275</v>
      </c>
      <c r="L77" s="4">
        <f t="shared" si="3"/>
        <v>1</v>
      </c>
      <c r="M77" s="46"/>
    </row>
    <row r="78" spans="1:13" ht="23.25" customHeight="1">
      <c r="A78" s="100"/>
      <c r="B78" s="78" t="s">
        <v>176</v>
      </c>
      <c r="C78" s="80" t="s">
        <v>175</v>
      </c>
      <c r="D78" s="96"/>
      <c r="E78" s="93"/>
      <c r="F78" s="1">
        <v>525</v>
      </c>
      <c r="G78" s="33"/>
      <c r="H78" s="33">
        <f t="shared" si="0"/>
        <v>0</v>
      </c>
      <c r="I78" s="3">
        <v>1</v>
      </c>
      <c r="J78" s="3">
        <f t="shared" si="12"/>
        <v>525</v>
      </c>
      <c r="K78" s="2">
        <f t="shared" si="2"/>
        <v>525</v>
      </c>
      <c r="L78" s="4">
        <f t="shared" si="3"/>
        <v>1</v>
      </c>
      <c r="M78" s="46" t="s">
        <v>226</v>
      </c>
    </row>
    <row r="79" spans="1:13" ht="23.25" customHeight="1">
      <c r="A79" s="98">
        <v>53</v>
      </c>
      <c r="B79" s="94">
        <v>46011</v>
      </c>
      <c r="C79" s="91" t="s">
        <v>177</v>
      </c>
      <c r="D79" s="94">
        <v>46011</v>
      </c>
      <c r="E79" s="63" t="s">
        <v>107</v>
      </c>
      <c r="F79" s="1">
        <v>250</v>
      </c>
      <c r="G79" s="33"/>
      <c r="H79" s="33">
        <f t="shared" si="0"/>
        <v>0</v>
      </c>
      <c r="I79" s="3">
        <v>1</v>
      </c>
      <c r="J79" s="3">
        <f t="shared" si="12"/>
        <v>250</v>
      </c>
      <c r="K79" s="2">
        <f t="shared" si="2"/>
        <v>250</v>
      </c>
      <c r="L79" s="4">
        <f t="shared" si="3"/>
        <v>1</v>
      </c>
      <c r="M79" s="46"/>
    </row>
    <row r="80" spans="1:13" ht="23.25" customHeight="1">
      <c r="A80" s="99"/>
      <c r="B80" s="95"/>
      <c r="C80" s="92"/>
      <c r="D80" s="95"/>
      <c r="E80" s="63" t="s">
        <v>108</v>
      </c>
      <c r="F80" s="1">
        <v>250</v>
      </c>
      <c r="G80" s="33"/>
      <c r="H80" s="33">
        <f t="shared" si="0"/>
        <v>0</v>
      </c>
      <c r="I80" s="3">
        <v>2</v>
      </c>
      <c r="J80" s="3">
        <f t="shared" si="12"/>
        <v>500</v>
      </c>
      <c r="K80" s="2">
        <f t="shared" si="2"/>
        <v>500</v>
      </c>
      <c r="L80" s="4">
        <f t="shared" si="3"/>
        <v>2</v>
      </c>
      <c r="M80" s="46"/>
    </row>
    <row r="81" spans="1:13" ht="23.25" customHeight="1">
      <c r="A81" s="100"/>
      <c r="B81" s="96"/>
      <c r="C81" s="93"/>
      <c r="D81" s="96"/>
      <c r="E81" s="63" t="s">
        <v>109</v>
      </c>
      <c r="F81" s="1">
        <v>250</v>
      </c>
      <c r="G81" s="33"/>
      <c r="H81" s="33">
        <f t="shared" si="0"/>
        <v>0</v>
      </c>
      <c r="I81" s="3">
        <v>1</v>
      </c>
      <c r="J81" s="3">
        <f t="shared" si="12"/>
        <v>250</v>
      </c>
      <c r="K81" s="2">
        <f t="shared" si="2"/>
        <v>250</v>
      </c>
      <c r="L81" s="4">
        <f t="shared" si="3"/>
        <v>1</v>
      </c>
      <c r="M81" s="66"/>
    </row>
    <row r="82" spans="1:13" ht="23.25" customHeight="1">
      <c r="A82" s="53">
        <v>54</v>
      </c>
      <c r="B82" s="76">
        <v>46011</v>
      </c>
      <c r="C82" s="60" t="s">
        <v>159</v>
      </c>
      <c r="D82" s="58">
        <v>46011</v>
      </c>
      <c r="E82" s="63" t="s">
        <v>106</v>
      </c>
      <c r="F82" s="1">
        <v>275</v>
      </c>
      <c r="G82" s="33"/>
      <c r="H82" s="33">
        <f t="shared" si="0"/>
        <v>0</v>
      </c>
      <c r="I82" s="3">
        <v>1</v>
      </c>
      <c r="J82" s="3">
        <f t="shared" si="12"/>
        <v>275</v>
      </c>
      <c r="K82" s="2">
        <f t="shared" si="2"/>
        <v>275</v>
      </c>
      <c r="L82" s="4">
        <f t="shared" si="3"/>
        <v>1</v>
      </c>
      <c r="M82" s="66"/>
    </row>
    <row r="83" spans="1:13" ht="23.25" customHeight="1">
      <c r="A83" s="98">
        <v>55</v>
      </c>
      <c r="B83" s="94">
        <v>46011</v>
      </c>
      <c r="C83" s="91" t="s">
        <v>159</v>
      </c>
      <c r="D83" s="94">
        <v>46011</v>
      </c>
      <c r="E83" s="63" t="s">
        <v>107</v>
      </c>
      <c r="F83" s="1">
        <v>275</v>
      </c>
      <c r="G83" s="33"/>
      <c r="H83" s="33">
        <f t="shared" si="0"/>
        <v>0</v>
      </c>
      <c r="I83" s="3">
        <v>2</v>
      </c>
      <c r="J83" s="3">
        <f t="shared" si="12"/>
        <v>550</v>
      </c>
      <c r="K83" s="2">
        <f t="shared" si="2"/>
        <v>550</v>
      </c>
      <c r="L83" s="4">
        <f t="shared" si="3"/>
        <v>2</v>
      </c>
      <c r="M83" s="101" t="s">
        <v>184</v>
      </c>
    </row>
    <row r="84" spans="1:13" ht="23.25" customHeight="1">
      <c r="A84" s="99"/>
      <c r="B84" s="95"/>
      <c r="C84" s="92"/>
      <c r="D84" s="95"/>
      <c r="E84" s="63" t="s">
        <v>102</v>
      </c>
      <c r="F84" s="1">
        <v>275</v>
      </c>
      <c r="G84" s="33"/>
      <c r="H84" s="33">
        <f t="shared" si="0"/>
        <v>0</v>
      </c>
      <c r="I84" s="3">
        <v>1</v>
      </c>
      <c r="J84" s="3">
        <f t="shared" si="12"/>
        <v>275</v>
      </c>
      <c r="K84" s="2">
        <f t="shared" si="2"/>
        <v>275</v>
      </c>
      <c r="L84" s="4">
        <f t="shared" si="3"/>
        <v>1</v>
      </c>
      <c r="M84" s="102"/>
    </row>
    <row r="85" spans="1:13" ht="23.25" customHeight="1">
      <c r="A85" s="100"/>
      <c r="B85" s="96"/>
      <c r="C85" s="92"/>
      <c r="D85" s="96"/>
      <c r="E85" s="63" t="s">
        <v>68</v>
      </c>
      <c r="F85" s="1">
        <v>275</v>
      </c>
      <c r="G85" s="33"/>
      <c r="H85" s="33">
        <f t="shared" si="0"/>
        <v>0</v>
      </c>
      <c r="I85" s="3">
        <v>1</v>
      </c>
      <c r="J85" s="3">
        <f t="shared" si="12"/>
        <v>275</v>
      </c>
      <c r="K85" s="2">
        <f t="shared" si="2"/>
        <v>275</v>
      </c>
      <c r="L85" s="4">
        <f t="shared" si="3"/>
        <v>1</v>
      </c>
      <c r="M85" s="103"/>
    </row>
    <row r="86" spans="1:13" ht="23.25" customHeight="1">
      <c r="A86" s="53">
        <v>56</v>
      </c>
      <c r="B86" s="76">
        <v>46011</v>
      </c>
      <c r="C86" s="60" t="s">
        <v>159</v>
      </c>
      <c r="D86" s="58">
        <v>46001</v>
      </c>
      <c r="E86" s="63" t="s">
        <v>68</v>
      </c>
      <c r="F86" s="1">
        <v>275</v>
      </c>
      <c r="G86" s="33"/>
      <c r="H86" s="33">
        <f t="shared" si="0"/>
        <v>0</v>
      </c>
      <c r="I86" s="3">
        <v>1</v>
      </c>
      <c r="J86" s="3">
        <f t="shared" si="12"/>
        <v>275</v>
      </c>
      <c r="K86" s="2">
        <f t="shared" si="2"/>
        <v>275</v>
      </c>
      <c r="L86" s="4">
        <f t="shared" si="3"/>
        <v>1</v>
      </c>
      <c r="M86" s="66"/>
    </row>
    <row r="87" spans="1:13" ht="23.25" customHeight="1">
      <c r="A87" s="98">
        <v>57</v>
      </c>
      <c r="B87" s="94">
        <v>46013</v>
      </c>
      <c r="C87" s="91" t="s">
        <v>159</v>
      </c>
      <c r="D87" s="94">
        <v>46011</v>
      </c>
      <c r="E87" s="63" t="s">
        <v>103</v>
      </c>
      <c r="F87" s="1">
        <v>275</v>
      </c>
      <c r="G87" s="33"/>
      <c r="H87" s="33">
        <f t="shared" si="0"/>
        <v>0</v>
      </c>
      <c r="I87" s="3">
        <v>1</v>
      </c>
      <c r="J87" s="3">
        <f t="shared" si="12"/>
        <v>275</v>
      </c>
      <c r="K87" s="2">
        <f t="shared" si="2"/>
        <v>275</v>
      </c>
      <c r="L87" s="4">
        <f t="shared" si="3"/>
        <v>1</v>
      </c>
      <c r="M87" s="66"/>
    </row>
    <row r="88" spans="1:13" ht="23.25" customHeight="1">
      <c r="A88" s="100"/>
      <c r="B88" s="96"/>
      <c r="C88" s="93"/>
      <c r="D88" s="96"/>
      <c r="E88" s="63" t="s">
        <v>104</v>
      </c>
      <c r="F88" s="1">
        <v>275</v>
      </c>
      <c r="G88" s="33"/>
      <c r="H88" s="33">
        <f t="shared" si="0"/>
        <v>0</v>
      </c>
      <c r="I88" s="3">
        <v>1</v>
      </c>
      <c r="J88" s="3">
        <f t="shared" si="12"/>
        <v>275</v>
      </c>
      <c r="K88" s="2">
        <f t="shared" si="2"/>
        <v>275</v>
      </c>
      <c r="L88" s="4">
        <f t="shared" si="3"/>
        <v>1</v>
      </c>
      <c r="M88" s="66"/>
    </row>
    <row r="89" spans="1:13" ht="23.25" customHeight="1">
      <c r="A89" s="53">
        <v>58</v>
      </c>
      <c r="B89" s="76">
        <v>46013</v>
      </c>
      <c r="C89" s="60" t="s">
        <v>178</v>
      </c>
      <c r="D89" s="58">
        <v>46013</v>
      </c>
      <c r="E89" s="63" t="s">
        <v>117</v>
      </c>
      <c r="F89" s="1">
        <v>550</v>
      </c>
      <c r="G89" s="33"/>
      <c r="H89" s="33">
        <f t="shared" si="0"/>
        <v>0</v>
      </c>
      <c r="I89" s="3">
        <v>1</v>
      </c>
      <c r="J89" s="3">
        <f t="shared" si="12"/>
        <v>550</v>
      </c>
      <c r="K89" s="2">
        <f t="shared" si="2"/>
        <v>550</v>
      </c>
      <c r="L89" s="4">
        <f t="shared" si="3"/>
        <v>1</v>
      </c>
      <c r="M89" s="66"/>
    </row>
    <row r="90" spans="1:13" ht="23.25" customHeight="1">
      <c r="A90" s="53">
        <v>59</v>
      </c>
      <c r="B90" s="76">
        <v>46013</v>
      </c>
      <c r="C90" s="60" t="s">
        <v>159</v>
      </c>
      <c r="D90" s="58">
        <v>46013</v>
      </c>
      <c r="E90" s="63" t="s">
        <v>58</v>
      </c>
      <c r="F90" s="1">
        <v>275</v>
      </c>
      <c r="G90" s="33"/>
      <c r="H90" s="33">
        <f t="shared" si="0"/>
        <v>0</v>
      </c>
      <c r="I90" s="3">
        <v>1</v>
      </c>
      <c r="J90" s="3">
        <f t="shared" si="12"/>
        <v>275</v>
      </c>
      <c r="K90" s="2">
        <f t="shared" si="2"/>
        <v>275</v>
      </c>
      <c r="L90" s="4">
        <f t="shared" si="3"/>
        <v>1</v>
      </c>
      <c r="M90" s="66"/>
    </row>
    <row r="91" spans="1:13" ht="23.25" customHeight="1">
      <c r="A91" s="53">
        <v>60</v>
      </c>
      <c r="B91" s="76">
        <v>46013</v>
      </c>
      <c r="C91" s="63" t="s">
        <v>159</v>
      </c>
      <c r="D91" s="58">
        <v>46011</v>
      </c>
      <c r="E91" s="63" t="s">
        <v>105</v>
      </c>
      <c r="F91" s="1">
        <v>275</v>
      </c>
      <c r="G91" s="33"/>
      <c r="H91" s="33">
        <f t="shared" si="0"/>
        <v>0</v>
      </c>
      <c r="I91" s="3">
        <v>1</v>
      </c>
      <c r="J91" s="3">
        <f t="shared" si="12"/>
        <v>275</v>
      </c>
      <c r="K91" s="2">
        <f t="shared" si="2"/>
        <v>275</v>
      </c>
      <c r="L91" s="4">
        <f t="shared" si="3"/>
        <v>1</v>
      </c>
      <c r="M91" s="46"/>
    </row>
    <row r="92" spans="1:13" ht="23.25" customHeight="1">
      <c r="A92" s="98">
        <v>61</v>
      </c>
      <c r="B92" s="94">
        <v>46013</v>
      </c>
      <c r="C92" s="91" t="s">
        <v>159</v>
      </c>
      <c r="D92" s="94">
        <v>46008</v>
      </c>
      <c r="E92" s="63" t="s">
        <v>92</v>
      </c>
      <c r="F92" s="1">
        <v>275</v>
      </c>
      <c r="G92" s="33"/>
      <c r="H92" s="33">
        <f t="shared" si="0"/>
        <v>0</v>
      </c>
      <c r="I92" s="3">
        <v>3</v>
      </c>
      <c r="J92" s="3">
        <f t="shared" si="12"/>
        <v>825</v>
      </c>
      <c r="K92" s="2">
        <f t="shared" si="2"/>
        <v>825</v>
      </c>
      <c r="L92" s="4">
        <f t="shared" si="3"/>
        <v>3</v>
      </c>
      <c r="M92" s="66"/>
    </row>
    <row r="93" spans="1:13" ht="23.25" customHeight="1">
      <c r="A93" s="99"/>
      <c r="B93" s="95"/>
      <c r="C93" s="92"/>
      <c r="D93" s="95"/>
      <c r="E93" s="63" t="s">
        <v>93</v>
      </c>
      <c r="F93" s="1">
        <v>275</v>
      </c>
      <c r="G93" s="33"/>
      <c r="H93" s="33">
        <f t="shared" si="0"/>
        <v>0</v>
      </c>
      <c r="I93" s="3">
        <v>2</v>
      </c>
      <c r="J93" s="3">
        <f t="shared" si="12"/>
        <v>550</v>
      </c>
      <c r="K93" s="2">
        <f t="shared" si="2"/>
        <v>550</v>
      </c>
      <c r="L93" s="4">
        <f t="shared" si="3"/>
        <v>2</v>
      </c>
      <c r="M93" s="66"/>
    </row>
    <row r="94" spans="1:13" ht="23.25" customHeight="1">
      <c r="A94" s="100"/>
      <c r="B94" s="96"/>
      <c r="C94" s="93"/>
      <c r="D94" s="96"/>
      <c r="E94" s="63" t="s">
        <v>94</v>
      </c>
      <c r="F94" s="1">
        <v>275</v>
      </c>
      <c r="G94" s="33"/>
      <c r="H94" s="33">
        <f t="shared" si="0"/>
        <v>0</v>
      </c>
      <c r="I94" s="3">
        <v>1</v>
      </c>
      <c r="J94" s="3">
        <f t="shared" si="12"/>
        <v>275</v>
      </c>
      <c r="K94" s="2">
        <f t="shared" si="2"/>
        <v>275</v>
      </c>
      <c r="L94" s="4">
        <f t="shared" si="3"/>
        <v>1</v>
      </c>
      <c r="M94" s="66"/>
    </row>
    <row r="95" spans="1:13" ht="23.25" customHeight="1">
      <c r="A95" s="53">
        <v>62</v>
      </c>
      <c r="B95" s="76">
        <v>46013</v>
      </c>
      <c r="C95" s="63" t="s">
        <v>159</v>
      </c>
      <c r="D95" s="58">
        <v>46009</v>
      </c>
      <c r="E95" s="60" t="s">
        <v>97</v>
      </c>
      <c r="F95" s="1">
        <v>275</v>
      </c>
      <c r="G95" s="33"/>
      <c r="H95" s="33">
        <f t="shared" si="0"/>
        <v>0</v>
      </c>
      <c r="I95" s="3">
        <v>2</v>
      </c>
      <c r="J95" s="3">
        <f t="shared" si="12"/>
        <v>550</v>
      </c>
      <c r="K95" s="2">
        <f t="shared" si="2"/>
        <v>550</v>
      </c>
      <c r="L95" s="4">
        <f t="shared" si="3"/>
        <v>2</v>
      </c>
      <c r="M95" s="46"/>
    </row>
    <row r="96" spans="1:13" ht="23.25" customHeight="1">
      <c r="A96" s="98">
        <v>63</v>
      </c>
      <c r="B96" s="114">
        <v>46013</v>
      </c>
      <c r="C96" s="91" t="s">
        <v>159</v>
      </c>
      <c r="D96" s="94">
        <v>46007</v>
      </c>
      <c r="E96" s="60" t="s">
        <v>89</v>
      </c>
      <c r="F96" s="1">
        <v>275</v>
      </c>
      <c r="G96" s="33"/>
      <c r="H96" s="33">
        <f t="shared" si="0"/>
        <v>0</v>
      </c>
      <c r="I96" s="3">
        <v>1</v>
      </c>
      <c r="J96" s="3">
        <f t="shared" si="12"/>
        <v>275</v>
      </c>
      <c r="K96" s="2">
        <f t="shared" si="2"/>
        <v>275</v>
      </c>
      <c r="L96" s="4">
        <f t="shared" si="3"/>
        <v>1</v>
      </c>
      <c r="M96" s="46"/>
    </row>
    <row r="97" spans="1:13" ht="23.25" customHeight="1">
      <c r="A97" s="100"/>
      <c r="B97" s="115"/>
      <c r="C97" s="93"/>
      <c r="D97" s="96"/>
      <c r="E97" s="60" t="s">
        <v>21</v>
      </c>
      <c r="F97" s="1">
        <v>275</v>
      </c>
      <c r="G97" s="33"/>
      <c r="H97" s="33">
        <f t="shared" si="0"/>
        <v>0</v>
      </c>
      <c r="I97" s="3">
        <v>1</v>
      </c>
      <c r="J97" s="3">
        <f t="shared" si="12"/>
        <v>275</v>
      </c>
      <c r="K97" s="2">
        <f t="shared" si="2"/>
        <v>275</v>
      </c>
      <c r="L97" s="4">
        <f t="shared" si="3"/>
        <v>1</v>
      </c>
      <c r="M97" s="46"/>
    </row>
    <row r="98" spans="1:13" ht="23.25" customHeight="1">
      <c r="A98" s="52">
        <v>64</v>
      </c>
      <c r="B98" s="72">
        <v>46378</v>
      </c>
      <c r="C98" s="50" t="s">
        <v>88</v>
      </c>
      <c r="D98" s="49">
        <v>46373</v>
      </c>
      <c r="E98" s="86" t="s">
        <v>223</v>
      </c>
      <c r="F98" s="1">
        <v>425</v>
      </c>
      <c r="G98" s="33"/>
      <c r="H98" s="33">
        <f t="shared" ref="H98" si="13">F98*G98</f>
        <v>0</v>
      </c>
      <c r="I98" s="3">
        <v>1</v>
      </c>
      <c r="J98" s="3">
        <f t="shared" si="12"/>
        <v>425</v>
      </c>
      <c r="K98" s="2">
        <f t="shared" ref="K98" si="14">SUM(J98+H98)</f>
        <v>425</v>
      </c>
      <c r="L98" s="4">
        <f t="shared" ref="L98" si="15">SUM(G98+I98)</f>
        <v>1</v>
      </c>
      <c r="M98" s="46" t="s">
        <v>225</v>
      </c>
    </row>
    <row r="99" spans="1:13" ht="23.25" customHeight="1">
      <c r="A99" s="53">
        <v>65</v>
      </c>
      <c r="B99" s="76">
        <v>46014</v>
      </c>
      <c r="C99" s="60" t="s">
        <v>177</v>
      </c>
      <c r="D99" s="58">
        <v>46013</v>
      </c>
      <c r="E99" s="60" t="s">
        <v>114</v>
      </c>
      <c r="F99" s="1">
        <v>250</v>
      </c>
      <c r="G99" s="33"/>
      <c r="H99" s="33">
        <f t="shared" si="0"/>
        <v>0</v>
      </c>
      <c r="I99" s="3">
        <v>2</v>
      </c>
      <c r="J99" s="3">
        <f t="shared" si="12"/>
        <v>500</v>
      </c>
      <c r="K99" s="2">
        <f t="shared" si="2"/>
        <v>500</v>
      </c>
      <c r="L99" s="4">
        <f t="shared" si="3"/>
        <v>2</v>
      </c>
      <c r="M99" s="46"/>
    </row>
    <row r="100" spans="1:13" ht="23.25" customHeight="1">
      <c r="A100" s="98">
        <v>66</v>
      </c>
      <c r="B100" s="94">
        <v>46015</v>
      </c>
      <c r="C100" s="91" t="s">
        <v>120</v>
      </c>
      <c r="D100" s="94">
        <v>46015</v>
      </c>
      <c r="E100" s="60" t="s">
        <v>180</v>
      </c>
      <c r="F100" s="1">
        <v>225</v>
      </c>
      <c r="G100" s="33"/>
      <c r="H100" s="33">
        <f t="shared" si="0"/>
        <v>0</v>
      </c>
      <c r="I100" s="3">
        <v>1</v>
      </c>
      <c r="J100" s="3">
        <f t="shared" si="12"/>
        <v>225</v>
      </c>
      <c r="K100" s="2">
        <f t="shared" si="2"/>
        <v>225</v>
      </c>
      <c r="L100" s="4">
        <f t="shared" si="3"/>
        <v>1</v>
      </c>
      <c r="M100" s="46"/>
    </row>
    <row r="101" spans="1:13" ht="23.25" customHeight="1">
      <c r="A101" s="100"/>
      <c r="B101" s="96"/>
      <c r="C101" s="93"/>
      <c r="D101" s="96"/>
      <c r="E101" s="60" t="s">
        <v>121</v>
      </c>
      <c r="F101" s="1">
        <v>225</v>
      </c>
      <c r="G101" s="33"/>
      <c r="H101" s="33">
        <f t="shared" si="0"/>
        <v>0</v>
      </c>
      <c r="I101" s="3">
        <v>2</v>
      </c>
      <c r="J101" s="3">
        <f t="shared" si="12"/>
        <v>450</v>
      </c>
      <c r="K101" s="2">
        <f t="shared" si="2"/>
        <v>450</v>
      </c>
      <c r="L101" s="4">
        <f t="shared" si="3"/>
        <v>2</v>
      </c>
      <c r="M101" s="46"/>
    </row>
    <row r="102" spans="1:13" ht="23.25" customHeight="1">
      <c r="A102" s="53">
        <v>67</v>
      </c>
      <c r="B102" s="76">
        <v>46016</v>
      </c>
      <c r="C102" s="63" t="s">
        <v>159</v>
      </c>
      <c r="D102" s="58">
        <v>46016</v>
      </c>
      <c r="E102" s="60" t="s">
        <v>121</v>
      </c>
      <c r="F102" s="1">
        <v>275</v>
      </c>
      <c r="G102" s="33"/>
      <c r="H102" s="33">
        <f t="shared" si="0"/>
        <v>0</v>
      </c>
      <c r="I102" s="3">
        <v>2</v>
      </c>
      <c r="J102" s="3">
        <f t="shared" si="12"/>
        <v>550</v>
      </c>
      <c r="K102" s="2">
        <f t="shared" si="2"/>
        <v>550</v>
      </c>
      <c r="L102" s="4">
        <f t="shared" si="3"/>
        <v>2</v>
      </c>
      <c r="M102" s="46"/>
    </row>
    <row r="103" spans="1:13" ht="23.25" customHeight="1">
      <c r="A103" s="53">
        <v>68</v>
      </c>
      <c r="B103" s="76">
        <v>46017</v>
      </c>
      <c r="C103" s="60" t="s">
        <v>99</v>
      </c>
      <c r="D103" s="58">
        <v>46017</v>
      </c>
      <c r="E103" s="60" t="s">
        <v>100</v>
      </c>
      <c r="F103" s="1">
        <v>475</v>
      </c>
      <c r="G103" s="33"/>
      <c r="H103" s="33">
        <f t="shared" si="0"/>
        <v>0</v>
      </c>
      <c r="I103" s="3">
        <v>1</v>
      </c>
      <c r="J103" s="3">
        <f t="shared" si="12"/>
        <v>475</v>
      </c>
      <c r="K103" s="2">
        <f t="shared" si="2"/>
        <v>475</v>
      </c>
      <c r="L103" s="4">
        <f t="shared" si="3"/>
        <v>1</v>
      </c>
      <c r="M103" s="66"/>
    </row>
    <row r="104" spans="1:13" ht="23.25" customHeight="1">
      <c r="A104" s="53">
        <v>69</v>
      </c>
      <c r="B104" s="76">
        <v>46017</v>
      </c>
      <c r="C104" s="60" t="s">
        <v>99</v>
      </c>
      <c r="D104" s="58">
        <v>46009</v>
      </c>
      <c r="E104" s="60" t="s">
        <v>100</v>
      </c>
      <c r="F104" s="1">
        <v>475</v>
      </c>
      <c r="G104" s="33"/>
      <c r="H104" s="33">
        <f t="shared" si="0"/>
        <v>0</v>
      </c>
      <c r="I104" s="3">
        <v>2</v>
      </c>
      <c r="J104" s="3">
        <f t="shared" si="12"/>
        <v>950</v>
      </c>
      <c r="K104" s="2">
        <f t="shared" si="2"/>
        <v>950</v>
      </c>
      <c r="L104" s="4">
        <f t="shared" si="3"/>
        <v>2</v>
      </c>
      <c r="M104" s="66"/>
    </row>
    <row r="105" spans="1:13" ht="23.25" customHeight="1">
      <c r="A105" s="98">
        <v>70</v>
      </c>
      <c r="B105" s="94">
        <v>46018</v>
      </c>
      <c r="C105" s="91" t="s">
        <v>159</v>
      </c>
      <c r="D105" s="94">
        <v>46015</v>
      </c>
      <c r="E105" s="60" t="s">
        <v>122</v>
      </c>
      <c r="F105" s="1">
        <v>275</v>
      </c>
      <c r="G105" s="33"/>
      <c r="H105" s="33">
        <f t="shared" si="0"/>
        <v>0</v>
      </c>
      <c r="I105" s="3">
        <v>1</v>
      </c>
      <c r="J105" s="3">
        <f t="shared" si="12"/>
        <v>275</v>
      </c>
      <c r="K105" s="2">
        <f t="shared" si="2"/>
        <v>275</v>
      </c>
      <c r="L105" s="4">
        <f t="shared" si="3"/>
        <v>1</v>
      </c>
      <c r="M105" s="46"/>
    </row>
    <row r="106" spans="1:13" ht="23.25" customHeight="1">
      <c r="A106" s="100"/>
      <c r="B106" s="96"/>
      <c r="C106" s="93"/>
      <c r="D106" s="96"/>
      <c r="E106" s="60" t="s">
        <v>123</v>
      </c>
      <c r="F106" s="1">
        <v>275</v>
      </c>
      <c r="G106" s="33"/>
      <c r="H106" s="33">
        <f t="shared" si="0"/>
        <v>0</v>
      </c>
      <c r="I106" s="3">
        <v>2</v>
      </c>
      <c r="J106" s="3">
        <f t="shared" si="12"/>
        <v>550</v>
      </c>
      <c r="K106" s="2">
        <f t="shared" si="2"/>
        <v>550</v>
      </c>
      <c r="L106" s="4">
        <f t="shared" si="3"/>
        <v>2</v>
      </c>
      <c r="M106" s="46"/>
    </row>
    <row r="107" spans="1:13" ht="23.25" customHeight="1">
      <c r="A107" s="53">
        <v>71</v>
      </c>
      <c r="B107" s="76">
        <v>46018</v>
      </c>
      <c r="C107" s="63" t="s">
        <v>181</v>
      </c>
      <c r="D107" s="58">
        <v>46017</v>
      </c>
      <c r="E107" s="60" t="s">
        <v>127</v>
      </c>
      <c r="F107" s="1">
        <v>275</v>
      </c>
      <c r="G107" s="33"/>
      <c r="H107" s="33">
        <f t="shared" si="0"/>
        <v>0</v>
      </c>
      <c r="I107" s="3">
        <v>4</v>
      </c>
      <c r="J107" s="3">
        <f t="shared" si="12"/>
        <v>1100</v>
      </c>
      <c r="K107" s="2">
        <f t="shared" si="2"/>
        <v>1100</v>
      </c>
      <c r="L107" s="4">
        <f t="shared" si="3"/>
        <v>4</v>
      </c>
      <c r="M107" s="46"/>
    </row>
    <row r="108" spans="1:13" ht="23.25" customHeight="1">
      <c r="A108" s="53">
        <v>72</v>
      </c>
      <c r="B108" s="76">
        <v>46018</v>
      </c>
      <c r="C108" s="60" t="s">
        <v>159</v>
      </c>
      <c r="D108" s="58">
        <v>46018</v>
      </c>
      <c r="E108" s="60" t="s">
        <v>68</v>
      </c>
      <c r="F108" s="1">
        <v>275</v>
      </c>
      <c r="G108" s="33"/>
      <c r="H108" s="33">
        <f t="shared" si="0"/>
        <v>0</v>
      </c>
      <c r="I108" s="3">
        <v>1</v>
      </c>
      <c r="J108" s="3">
        <f t="shared" si="12"/>
        <v>275</v>
      </c>
      <c r="K108" s="2">
        <f t="shared" si="2"/>
        <v>275</v>
      </c>
      <c r="L108" s="4">
        <f t="shared" si="3"/>
        <v>1</v>
      </c>
      <c r="M108" s="46"/>
    </row>
    <row r="109" spans="1:13" ht="23.25" customHeight="1">
      <c r="A109" s="53">
        <v>73</v>
      </c>
      <c r="B109" s="76">
        <v>46018</v>
      </c>
      <c r="C109" s="60" t="s">
        <v>111</v>
      </c>
      <c r="D109" s="58">
        <v>46013</v>
      </c>
      <c r="E109" s="60" t="s">
        <v>86</v>
      </c>
      <c r="F109" s="1">
        <v>250</v>
      </c>
      <c r="G109" s="33"/>
      <c r="H109" s="33">
        <f t="shared" si="0"/>
        <v>0</v>
      </c>
      <c r="I109" s="3">
        <v>4</v>
      </c>
      <c r="J109" s="3">
        <f t="shared" si="12"/>
        <v>1000</v>
      </c>
      <c r="K109" s="2">
        <f t="shared" si="2"/>
        <v>1000</v>
      </c>
      <c r="L109" s="4">
        <f t="shared" si="3"/>
        <v>4</v>
      </c>
      <c r="M109" s="46"/>
    </row>
    <row r="110" spans="1:13" ht="23.25" customHeight="1">
      <c r="A110" s="53">
        <v>74</v>
      </c>
      <c r="B110" s="76">
        <v>46018</v>
      </c>
      <c r="C110" s="60" t="s">
        <v>159</v>
      </c>
      <c r="D110" s="58">
        <v>46017</v>
      </c>
      <c r="E110" s="60" t="s">
        <v>126</v>
      </c>
      <c r="F110" s="1">
        <v>275</v>
      </c>
      <c r="G110" s="33"/>
      <c r="H110" s="33">
        <f t="shared" si="0"/>
        <v>0</v>
      </c>
      <c r="I110" s="3">
        <v>2</v>
      </c>
      <c r="J110" s="3">
        <f t="shared" si="12"/>
        <v>550</v>
      </c>
      <c r="K110" s="2">
        <f t="shared" si="2"/>
        <v>550</v>
      </c>
      <c r="L110" s="4">
        <f t="shared" si="3"/>
        <v>2</v>
      </c>
      <c r="M110" s="46"/>
    </row>
    <row r="111" spans="1:13" ht="23.25" customHeight="1">
      <c r="A111" s="53">
        <v>75</v>
      </c>
      <c r="B111" s="76">
        <v>46018</v>
      </c>
      <c r="C111" s="60" t="s">
        <v>111</v>
      </c>
      <c r="D111" s="58">
        <v>46004</v>
      </c>
      <c r="E111" s="60" t="s">
        <v>75</v>
      </c>
      <c r="F111" s="1">
        <v>250</v>
      </c>
      <c r="G111" s="33"/>
      <c r="H111" s="33">
        <f t="shared" si="0"/>
        <v>0</v>
      </c>
      <c r="I111" s="3">
        <v>1</v>
      </c>
      <c r="J111" s="3">
        <f t="shared" si="12"/>
        <v>250</v>
      </c>
      <c r="K111" s="2">
        <f t="shared" si="2"/>
        <v>250</v>
      </c>
      <c r="L111" s="4">
        <f t="shared" si="3"/>
        <v>1</v>
      </c>
      <c r="M111" s="46"/>
    </row>
    <row r="112" spans="1:13" ht="23.25" customHeight="1">
      <c r="A112" s="53">
        <v>76</v>
      </c>
      <c r="B112" s="76">
        <v>46018</v>
      </c>
      <c r="C112" s="60" t="s">
        <v>111</v>
      </c>
      <c r="D112" s="58">
        <v>46012</v>
      </c>
      <c r="E112" s="60" t="s">
        <v>112</v>
      </c>
      <c r="F112" s="1">
        <v>250</v>
      </c>
      <c r="G112" s="33"/>
      <c r="H112" s="33">
        <f t="shared" si="0"/>
        <v>0</v>
      </c>
      <c r="I112" s="3">
        <v>1</v>
      </c>
      <c r="J112" s="3">
        <f t="shared" si="12"/>
        <v>250</v>
      </c>
      <c r="K112" s="2">
        <f t="shared" si="2"/>
        <v>250</v>
      </c>
      <c r="L112" s="4">
        <f t="shared" si="3"/>
        <v>1</v>
      </c>
      <c r="M112" s="46"/>
    </row>
    <row r="113" spans="1:13" ht="23.25" customHeight="1">
      <c r="A113" s="98">
        <v>77</v>
      </c>
      <c r="B113" s="94">
        <v>46018</v>
      </c>
      <c r="C113" s="91" t="s">
        <v>159</v>
      </c>
      <c r="D113" s="94">
        <v>46016</v>
      </c>
      <c r="E113" s="60" t="s">
        <v>182</v>
      </c>
      <c r="F113" s="1">
        <v>275</v>
      </c>
      <c r="G113" s="33"/>
      <c r="H113" s="33">
        <f t="shared" si="0"/>
        <v>0</v>
      </c>
      <c r="I113" s="3">
        <v>2</v>
      </c>
      <c r="J113" s="3">
        <f t="shared" si="12"/>
        <v>550</v>
      </c>
      <c r="K113" s="2">
        <f t="shared" si="2"/>
        <v>550</v>
      </c>
      <c r="L113" s="4">
        <f t="shared" si="3"/>
        <v>2</v>
      </c>
      <c r="M113" s="101" t="s">
        <v>185</v>
      </c>
    </row>
    <row r="114" spans="1:13" ht="23.25" customHeight="1">
      <c r="A114" s="100"/>
      <c r="B114" s="96"/>
      <c r="C114" s="93"/>
      <c r="D114" s="96"/>
      <c r="E114" s="60" t="s">
        <v>183</v>
      </c>
      <c r="F114" s="1">
        <v>275</v>
      </c>
      <c r="G114" s="33"/>
      <c r="H114" s="33">
        <f t="shared" si="0"/>
        <v>0</v>
      </c>
      <c r="I114" s="3">
        <v>1</v>
      </c>
      <c r="J114" s="3">
        <f t="shared" si="12"/>
        <v>275</v>
      </c>
      <c r="K114" s="2">
        <f t="shared" si="2"/>
        <v>275</v>
      </c>
      <c r="L114" s="4">
        <f t="shared" si="3"/>
        <v>1</v>
      </c>
      <c r="M114" s="103"/>
    </row>
    <row r="115" spans="1:13" ht="23.25" customHeight="1">
      <c r="A115" s="53">
        <v>78</v>
      </c>
      <c r="B115" s="76">
        <v>46019</v>
      </c>
      <c r="C115" s="63" t="s">
        <v>115</v>
      </c>
      <c r="D115" s="58">
        <v>46013</v>
      </c>
      <c r="E115" s="60" t="s">
        <v>116</v>
      </c>
      <c r="F115" s="1">
        <v>250</v>
      </c>
      <c r="G115" s="33"/>
      <c r="H115" s="33">
        <f t="shared" si="0"/>
        <v>0</v>
      </c>
      <c r="I115" s="3">
        <v>4</v>
      </c>
      <c r="J115" s="3">
        <f t="shared" si="12"/>
        <v>1000</v>
      </c>
      <c r="K115" s="2">
        <f t="shared" si="2"/>
        <v>1000</v>
      </c>
      <c r="L115" s="4">
        <f t="shared" si="3"/>
        <v>4</v>
      </c>
      <c r="M115" s="46"/>
    </row>
    <row r="116" spans="1:13" ht="23.25" customHeight="1">
      <c r="A116" s="98">
        <v>79</v>
      </c>
      <c r="B116" s="94">
        <v>46019</v>
      </c>
      <c r="C116" s="91" t="s">
        <v>115</v>
      </c>
      <c r="D116" s="94">
        <v>46016</v>
      </c>
      <c r="E116" s="60" t="s">
        <v>124</v>
      </c>
      <c r="F116" s="1">
        <v>250</v>
      </c>
      <c r="G116" s="33"/>
      <c r="H116" s="33">
        <f t="shared" si="0"/>
        <v>0</v>
      </c>
      <c r="I116" s="3">
        <v>1</v>
      </c>
      <c r="J116" s="3">
        <f t="shared" si="12"/>
        <v>250</v>
      </c>
      <c r="K116" s="2">
        <f t="shared" si="2"/>
        <v>250</v>
      </c>
      <c r="L116" s="4">
        <f t="shared" si="3"/>
        <v>1</v>
      </c>
      <c r="M116" s="46"/>
    </row>
    <row r="117" spans="1:13" ht="23.25" customHeight="1">
      <c r="A117" s="100"/>
      <c r="B117" s="96"/>
      <c r="C117" s="93"/>
      <c r="D117" s="96"/>
      <c r="E117" s="60" t="s">
        <v>125</v>
      </c>
      <c r="F117" s="1">
        <v>250</v>
      </c>
      <c r="G117" s="33"/>
      <c r="H117" s="33">
        <f t="shared" si="0"/>
        <v>0</v>
      </c>
      <c r="I117" s="3">
        <v>3</v>
      </c>
      <c r="J117" s="3">
        <f t="shared" si="12"/>
        <v>750</v>
      </c>
      <c r="K117" s="2">
        <f t="shared" si="2"/>
        <v>750</v>
      </c>
      <c r="L117" s="4">
        <f t="shared" si="3"/>
        <v>3</v>
      </c>
      <c r="M117" s="46"/>
    </row>
    <row r="118" spans="1:13" ht="23.25" customHeight="1">
      <c r="A118" s="98">
        <v>80</v>
      </c>
      <c r="B118" s="94">
        <v>46019</v>
      </c>
      <c r="C118" s="91" t="s">
        <v>115</v>
      </c>
      <c r="D118" s="94">
        <v>46019</v>
      </c>
      <c r="E118" s="60" t="s">
        <v>128</v>
      </c>
      <c r="F118" s="1">
        <v>250</v>
      </c>
      <c r="G118" s="33"/>
      <c r="H118" s="33">
        <f t="shared" si="0"/>
        <v>0</v>
      </c>
      <c r="I118" s="3">
        <v>1</v>
      </c>
      <c r="J118" s="3">
        <f t="shared" si="12"/>
        <v>250</v>
      </c>
      <c r="K118" s="2">
        <f t="shared" si="2"/>
        <v>250</v>
      </c>
      <c r="L118" s="4">
        <f t="shared" si="3"/>
        <v>1</v>
      </c>
      <c r="M118" s="46"/>
    </row>
    <row r="119" spans="1:13" ht="23.25" customHeight="1">
      <c r="A119" s="99"/>
      <c r="B119" s="95"/>
      <c r="C119" s="92"/>
      <c r="D119" s="95"/>
      <c r="E119" s="60" t="s">
        <v>130</v>
      </c>
      <c r="F119" s="1">
        <v>250</v>
      </c>
      <c r="G119" s="33"/>
      <c r="H119" s="33">
        <f t="shared" si="0"/>
        <v>0</v>
      </c>
      <c r="I119" s="3">
        <v>2</v>
      </c>
      <c r="J119" s="3">
        <f t="shared" si="12"/>
        <v>500</v>
      </c>
      <c r="K119" s="2">
        <f t="shared" si="2"/>
        <v>500</v>
      </c>
      <c r="L119" s="4">
        <f t="shared" si="3"/>
        <v>2</v>
      </c>
      <c r="M119" s="46"/>
    </row>
    <row r="120" spans="1:13" ht="23.25" customHeight="1">
      <c r="A120" s="99"/>
      <c r="B120" s="95"/>
      <c r="C120" s="92"/>
      <c r="D120" s="95"/>
      <c r="E120" s="60" t="s">
        <v>131</v>
      </c>
      <c r="F120" s="1">
        <v>250</v>
      </c>
      <c r="G120" s="33"/>
      <c r="H120" s="33">
        <f t="shared" si="0"/>
        <v>0</v>
      </c>
      <c r="I120" s="3">
        <v>2</v>
      </c>
      <c r="J120" s="3">
        <f t="shared" si="12"/>
        <v>500</v>
      </c>
      <c r="K120" s="2">
        <f t="shared" si="2"/>
        <v>500</v>
      </c>
      <c r="L120" s="4">
        <f t="shared" si="3"/>
        <v>2</v>
      </c>
      <c r="M120" s="46"/>
    </row>
    <row r="121" spans="1:13" ht="23.25" customHeight="1">
      <c r="A121" s="100"/>
      <c r="B121" s="96"/>
      <c r="C121" s="93"/>
      <c r="D121" s="96"/>
      <c r="E121" s="60" t="s">
        <v>129</v>
      </c>
      <c r="F121" s="1">
        <v>250</v>
      </c>
      <c r="G121" s="33"/>
      <c r="H121" s="33">
        <f t="shared" si="0"/>
        <v>0</v>
      </c>
      <c r="I121" s="3">
        <v>1</v>
      </c>
      <c r="J121" s="3">
        <f t="shared" si="12"/>
        <v>250</v>
      </c>
      <c r="K121" s="2">
        <f t="shared" si="2"/>
        <v>250</v>
      </c>
      <c r="L121" s="4">
        <f t="shared" si="3"/>
        <v>1</v>
      </c>
      <c r="M121" s="46"/>
    </row>
    <row r="122" spans="1:13" ht="23.25" customHeight="1">
      <c r="A122" s="53">
        <v>81</v>
      </c>
      <c r="B122" s="76">
        <v>46020</v>
      </c>
      <c r="C122" s="63" t="s">
        <v>186</v>
      </c>
      <c r="D122" s="58">
        <v>46020</v>
      </c>
      <c r="E122" s="60" t="s">
        <v>187</v>
      </c>
      <c r="F122" s="1">
        <v>575</v>
      </c>
      <c r="G122" s="33"/>
      <c r="H122" s="33">
        <f t="shared" si="0"/>
        <v>0</v>
      </c>
      <c r="I122" s="3">
        <v>1</v>
      </c>
      <c r="J122" s="3">
        <f t="shared" si="12"/>
        <v>575</v>
      </c>
      <c r="K122" s="2">
        <f t="shared" si="2"/>
        <v>575</v>
      </c>
      <c r="L122" s="4">
        <f t="shared" si="3"/>
        <v>1</v>
      </c>
      <c r="M122" s="46"/>
    </row>
    <row r="123" spans="1:13" ht="23.25" customHeight="1">
      <c r="A123" s="53">
        <v>82</v>
      </c>
      <c r="B123" s="76">
        <v>46021</v>
      </c>
      <c r="C123" s="63" t="s">
        <v>188</v>
      </c>
      <c r="D123" s="58">
        <v>46019</v>
      </c>
      <c r="E123" s="60" t="s">
        <v>84</v>
      </c>
      <c r="F123" s="1">
        <v>350</v>
      </c>
      <c r="G123" s="33"/>
      <c r="H123" s="33">
        <f t="shared" si="0"/>
        <v>0</v>
      </c>
      <c r="I123" s="3">
        <v>6</v>
      </c>
      <c r="J123" s="3">
        <f t="shared" si="12"/>
        <v>2100</v>
      </c>
      <c r="K123" s="2">
        <f t="shared" si="2"/>
        <v>2100</v>
      </c>
      <c r="L123" s="4">
        <f t="shared" si="3"/>
        <v>6</v>
      </c>
      <c r="M123" s="46"/>
    </row>
    <row r="124" spans="1:13" ht="23.25" customHeight="1">
      <c r="A124" s="98">
        <v>83</v>
      </c>
      <c r="B124" s="94">
        <v>46021</v>
      </c>
      <c r="C124" s="91" t="s">
        <v>189</v>
      </c>
      <c r="D124" s="94">
        <v>46021</v>
      </c>
      <c r="E124" s="60" t="s">
        <v>190</v>
      </c>
      <c r="F124" s="1">
        <v>225</v>
      </c>
      <c r="G124" s="33"/>
      <c r="H124" s="33">
        <f t="shared" si="0"/>
        <v>0</v>
      </c>
      <c r="I124" s="3">
        <v>2</v>
      </c>
      <c r="J124" s="3">
        <f t="shared" si="12"/>
        <v>450</v>
      </c>
      <c r="K124" s="2">
        <f t="shared" si="2"/>
        <v>450</v>
      </c>
      <c r="L124" s="4">
        <f t="shared" si="3"/>
        <v>2</v>
      </c>
      <c r="M124" s="46"/>
    </row>
    <row r="125" spans="1:13" ht="23.25" customHeight="1">
      <c r="A125" s="99"/>
      <c r="B125" s="95"/>
      <c r="C125" s="92"/>
      <c r="D125" s="95"/>
      <c r="E125" s="60" t="s">
        <v>191</v>
      </c>
      <c r="F125" s="1">
        <v>225</v>
      </c>
      <c r="G125" s="33"/>
      <c r="H125" s="33">
        <f t="shared" si="0"/>
        <v>0</v>
      </c>
      <c r="I125" s="3">
        <v>2</v>
      </c>
      <c r="J125" s="3">
        <f t="shared" si="12"/>
        <v>450</v>
      </c>
      <c r="K125" s="2">
        <f t="shared" si="2"/>
        <v>450</v>
      </c>
      <c r="L125" s="4">
        <f t="shared" si="3"/>
        <v>2</v>
      </c>
      <c r="M125" s="46"/>
    </row>
    <row r="126" spans="1:13" ht="23.25" customHeight="1">
      <c r="A126" s="100"/>
      <c r="B126" s="96"/>
      <c r="C126" s="93"/>
      <c r="D126" s="96"/>
      <c r="E126" s="60" t="s">
        <v>192</v>
      </c>
      <c r="F126" s="1">
        <v>225</v>
      </c>
      <c r="G126" s="33"/>
      <c r="H126" s="33">
        <f t="shared" si="0"/>
        <v>0</v>
      </c>
      <c r="I126" s="3">
        <v>2</v>
      </c>
      <c r="J126" s="3">
        <f t="shared" si="12"/>
        <v>450</v>
      </c>
      <c r="K126" s="2">
        <f t="shared" si="2"/>
        <v>450</v>
      </c>
      <c r="L126" s="4">
        <f t="shared" si="3"/>
        <v>2</v>
      </c>
      <c r="M126" s="46"/>
    </row>
    <row r="127" spans="1:13" ht="23.25" customHeight="1">
      <c r="A127" s="53"/>
      <c r="B127" s="119" t="s">
        <v>51</v>
      </c>
      <c r="C127" s="120"/>
      <c r="D127" s="120"/>
      <c r="E127" s="120"/>
      <c r="F127" s="121"/>
      <c r="G127" s="33"/>
      <c r="H127" s="33">
        <f t="shared" si="0"/>
        <v>0</v>
      </c>
      <c r="I127" s="3"/>
      <c r="J127" s="3">
        <f t="shared" si="12"/>
        <v>0</v>
      </c>
      <c r="K127" s="2">
        <f t="shared" si="2"/>
        <v>0</v>
      </c>
      <c r="L127" s="4">
        <f t="shared" si="3"/>
        <v>0</v>
      </c>
      <c r="M127" s="46"/>
    </row>
    <row r="128" spans="1:13" ht="23.25" customHeight="1">
      <c r="A128" s="53">
        <v>1</v>
      </c>
      <c r="B128" s="76" t="s">
        <v>194</v>
      </c>
      <c r="C128" s="60" t="s">
        <v>51</v>
      </c>
      <c r="D128" s="58">
        <v>46364</v>
      </c>
      <c r="E128" s="60" t="s">
        <v>63</v>
      </c>
      <c r="F128" s="1">
        <v>1000</v>
      </c>
      <c r="G128" s="33"/>
      <c r="H128" s="33">
        <f t="shared" si="0"/>
        <v>0</v>
      </c>
      <c r="I128" s="3">
        <v>1</v>
      </c>
      <c r="J128" s="3">
        <f t="shared" si="12"/>
        <v>1000</v>
      </c>
      <c r="K128" s="2">
        <f t="shared" si="2"/>
        <v>1000</v>
      </c>
      <c r="L128" s="4">
        <f t="shared" si="3"/>
        <v>1</v>
      </c>
      <c r="M128" s="46" t="s">
        <v>193</v>
      </c>
    </row>
    <row r="129" spans="1:13" ht="23.25" customHeight="1">
      <c r="A129" s="53">
        <v>2</v>
      </c>
      <c r="B129" s="76" t="s">
        <v>194</v>
      </c>
      <c r="C129" s="60" t="s">
        <v>51</v>
      </c>
      <c r="D129" s="58">
        <v>46364</v>
      </c>
      <c r="E129" s="60" t="s">
        <v>64</v>
      </c>
      <c r="F129" s="1">
        <v>1000</v>
      </c>
      <c r="G129" s="33"/>
      <c r="H129" s="33">
        <f t="shared" si="0"/>
        <v>0</v>
      </c>
      <c r="I129" s="3">
        <v>1</v>
      </c>
      <c r="J129" s="3">
        <f t="shared" si="12"/>
        <v>1000</v>
      </c>
      <c r="K129" s="2">
        <f t="shared" si="2"/>
        <v>1000</v>
      </c>
      <c r="L129" s="4">
        <f t="shared" si="3"/>
        <v>1</v>
      </c>
      <c r="M129" s="46" t="s">
        <v>193</v>
      </c>
    </row>
    <row r="130" spans="1:13" ht="23.25" customHeight="1">
      <c r="A130" s="53">
        <v>3</v>
      </c>
      <c r="B130" s="76" t="s">
        <v>194</v>
      </c>
      <c r="C130" s="60" t="s">
        <v>51</v>
      </c>
      <c r="D130" s="58">
        <v>46363</v>
      </c>
      <c r="E130" s="60" t="s">
        <v>58</v>
      </c>
      <c r="F130" s="1">
        <v>1000</v>
      </c>
      <c r="G130" s="33"/>
      <c r="H130" s="33">
        <f t="shared" si="0"/>
        <v>0</v>
      </c>
      <c r="I130" s="3">
        <v>2</v>
      </c>
      <c r="J130" s="3">
        <f t="shared" si="12"/>
        <v>2000</v>
      </c>
      <c r="K130" s="2">
        <f t="shared" si="2"/>
        <v>2000</v>
      </c>
      <c r="L130" s="4">
        <f t="shared" si="3"/>
        <v>2</v>
      </c>
      <c r="M130" s="46" t="s">
        <v>193</v>
      </c>
    </row>
    <row r="131" spans="1:13" ht="23.25" customHeight="1">
      <c r="A131" s="53">
        <v>4</v>
      </c>
      <c r="B131" s="76" t="s">
        <v>194</v>
      </c>
      <c r="C131" s="60" t="s">
        <v>51</v>
      </c>
      <c r="D131" s="58">
        <v>46363</v>
      </c>
      <c r="E131" s="60" t="s">
        <v>62</v>
      </c>
      <c r="F131" s="1">
        <v>1000</v>
      </c>
      <c r="G131" s="33"/>
      <c r="H131" s="33">
        <f t="shared" si="0"/>
        <v>0</v>
      </c>
      <c r="I131" s="3">
        <v>1</v>
      </c>
      <c r="J131" s="3">
        <f t="shared" si="12"/>
        <v>1000</v>
      </c>
      <c r="K131" s="2">
        <f t="shared" si="2"/>
        <v>1000</v>
      </c>
      <c r="L131" s="4">
        <f t="shared" si="3"/>
        <v>1</v>
      </c>
      <c r="M131" s="46" t="s">
        <v>193</v>
      </c>
    </row>
    <row r="132" spans="1:13" ht="23.25" customHeight="1">
      <c r="A132" s="53">
        <v>5</v>
      </c>
      <c r="B132" s="76">
        <v>46364</v>
      </c>
      <c r="C132" s="60" t="s">
        <v>195</v>
      </c>
      <c r="D132" s="58">
        <v>46363</v>
      </c>
      <c r="E132" s="60" t="s">
        <v>61</v>
      </c>
      <c r="F132" s="1">
        <v>250</v>
      </c>
      <c r="G132" s="33"/>
      <c r="H132" s="33">
        <f t="shared" si="0"/>
        <v>0</v>
      </c>
      <c r="I132" s="3">
        <v>2</v>
      </c>
      <c r="J132" s="3">
        <f t="shared" si="12"/>
        <v>500</v>
      </c>
      <c r="K132" s="2">
        <f t="shared" si="2"/>
        <v>500</v>
      </c>
      <c r="L132" s="4">
        <f t="shared" si="3"/>
        <v>2</v>
      </c>
      <c r="M132" s="46"/>
    </row>
    <row r="133" spans="1:13" ht="23.25" customHeight="1">
      <c r="A133" s="53">
        <v>6</v>
      </c>
      <c r="B133" s="76" t="s">
        <v>194</v>
      </c>
      <c r="C133" s="60" t="s">
        <v>51</v>
      </c>
      <c r="D133" s="58">
        <v>46362</v>
      </c>
      <c r="E133" s="60" t="s">
        <v>56</v>
      </c>
      <c r="F133" s="1">
        <v>900</v>
      </c>
      <c r="G133" s="33"/>
      <c r="H133" s="33">
        <f t="shared" si="0"/>
        <v>0</v>
      </c>
      <c r="I133" s="3">
        <v>1</v>
      </c>
      <c r="J133" s="3">
        <f t="shared" si="12"/>
        <v>900</v>
      </c>
      <c r="K133" s="2">
        <f t="shared" si="2"/>
        <v>900</v>
      </c>
      <c r="L133" s="4">
        <f t="shared" si="3"/>
        <v>1</v>
      </c>
      <c r="M133" s="46" t="s">
        <v>196</v>
      </c>
    </row>
    <row r="134" spans="1:13" ht="23.25" customHeight="1">
      <c r="A134" s="53">
        <v>7</v>
      </c>
      <c r="B134" s="76" t="s">
        <v>194</v>
      </c>
      <c r="C134" s="63" t="s">
        <v>51</v>
      </c>
      <c r="D134" s="58">
        <v>46362</v>
      </c>
      <c r="E134" s="60" t="s">
        <v>55</v>
      </c>
      <c r="F134" s="1">
        <v>1000</v>
      </c>
      <c r="G134" s="33"/>
      <c r="H134" s="33">
        <f t="shared" si="0"/>
        <v>0</v>
      </c>
      <c r="I134" s="3">
        <v>1</v>
      </c>
      <c r="J134" s="3">
        <f t="shared" si="12"/>
        <v>1000</v>
      </c>
      <c r="K134" s="2">
        <f t="shared" si="2"/>
        <v>1000</v>
      </c>
      <c r="L134" s="4">
        <f t="shared" si="3"/>
        <v>1</v>
      </c>
      <c r="M134" s="46" t="s">
        <v>193</v>
      </c>
    </row>
    <row r="135" spans="1:13" ht="23.25" customHeight="1">
      <c r="A135" s="53">
        <v>8</v>
      </c>
      <c r="B135" s="76" t="s">
        <v>194</v>
      </c>
      <c r="C135" s="63" t="s">
        <v>51</v>
      </c>
      <c r="D135" s="58">
        <v>46362</v>
      </c>
      <c r="E135" s="60" t="s">
        <v>54</v>
      </c>
      <c r="F135" s="1">
        <v>1000</v>
      </c>
      <c r="G135" s="33"/>
      <c r="H135" s="33">
        <f t="shared" si="0"/>
        <v>0</v>
      </c>
      <c r="I135" s="3">
        <v>1</v>
      </c>
      <c r="J135" s="3">
        <f t="shared" si="12"/>
        <v>1000</v>
      </c>
      <c r="K135" s="2">
        <f t="shared" si="2"/>
        <v>1000</v>
      </c>
      <c r="L135" s="4">
        <f t="shared" si="3"/>
        <v>1</v>
      </c>
      <c r="M135" s="46" t="s">
        <v>193</v>
      </c>
    </row>
    <row r="136" spans="1:13" ht="23.25" customHeight="1">
      <c r="A136" s="53">
        <v>9</v>
      </c>
      <c r="B136" s="76" t="s">
        <v>194</v>
      </c>
      <c r="C136" s="60" t="s">
        <v>51</v>
      </c>
      <c r="D136" s="58">
        <v>46362</v>
      </c>
      <c r="E136" s="60" t="s">
        <v>53</v>
      </c>
      <c r="F136" s="1">
        <v>1000</v>
      </c>
      <c r="G136" s="33"/>
      <c r="H136" s="33">
        <f t="shared" si="0"/>
        <v>0</v>
      </c>
      <c r="I136" s="3">
        <v>2</v>
      </c>
      <c r="J136" s="3">
        <f t="shared" si="12"/>
        <v>2000</v>
      </c>
      <c r="K136" s="2">
        <f t="shared" si="2"/>
        <v>2000</v>
      </c>
      <c r="L136" s="4">
        <f t="shared" si="3"/>
        <v>2</v>
      </c>
      <c r="M136" s="46" t="s">
        <v>193</v>
      </c>
    </row>
    <row r="137" spans="1:13" ht="23.25" customHeight="1">
      <c r="A137" s="53">
        <v>10</v>
      </c>
      <c r="B137" s="76" t="s">
        <v>194</v>
      </c>
      <c r="C137" s="60" t="s">
        <v>51</v>
      </c>
      <c r="D137" s="58">
        <v>46360</v>
      </c>
      <c r="E137" s="60" t="s">
        <v>50</v>
      </c>
      <c r="F137" s="1">
        <v>1000</v>
      </c>
      <c r="G137" s="33"/>
      <c r="H137" s="33">
        <f t="shared" si="0"/>
        <v>0</v>
      </c>
      <c r="I137" s="3">
        <v>1</v>
      </c>
      <c r="J137" s="3">
        <f t="shared" si="12"/>
        <v>1000</v>
      </c>
      <c r="K137" s="2">
        <f t="shared" si="2"/>
        <v>1000</v>
      </c>
      <c r="L137" s="4">
        <f t="shared" si="3"/>
        <v>1</v>
      </c>
      <c r="M137" s="46" t="s">
        <v>193</v>
      </c>
    </row>
    <row r="138" spans="1:13" ht="23.25" customHeight="1">
      <c r="A138" s="53">
        <v>11</v>
      </c>
      <c r="B138" s="76">
        <v>46364</v>
      </c>
      <c r="C138" s="60" t="s">
        <v>195</v>
      </c>
      <c r="D138" s="58">
        <v>46360</v>
      </c>
      <c r="E138" s="60" t="s">
        <v>52</v>
      </c>
      <c r="F138" s="1">
        <v>250</v>
      </c>
      <c r="G138" s="33"/>
      <c r="H138" s="33">
        <f t="shared" si="0"/>
        <v>0</v>
      </c>
      <c r="I138" s="3">
        <v>1</v>
      </c>
      <c r="J138" s="3">
        <f t="shared" si="12"/>
        <v>250</v>
      </c>
      <c r="K138" s="2">
        <f t="shared" si="2"/>
        <v>250</v>
      </c>
      <c r="L138" s="4">
        <f t="shared" si="3"/>
        <v>1</v>
      </c>
      <c r="M138" s="66"/>
    </row>
    <row r="139" spans="1:13" ht="23.25" customHeight="1">
      <c r="A139" s="53">
        <v>12</v>
      </c>
      <c r="B139" s="76">
        <v>46365</v>
      </c>
      <c r="C139" s="63" t="s">
        <v>195</v>
      </c>
      <c r="D139" s="58">
        <v>46360</v>
      </c>
      <c r="E139" s="60" t="s">
        <v>52</v>
      </c>
      <c r="F139" s="1">
        <v>250</v>
      </c>
      <c r="G139" s="33"/>
      <c r="H139" s="33">
        <f t="shared" si="0"/>
        <v>0</v>
      </c>
      <c r="I139" s="3">
        <v>1</v>
      </c>
      <c r="J139" s="3">
        <f t="shared" si="12"/>
        <v>250</v>
      </c>
      <c r="K139" s="2">
        <f t="shared" si="2"/>
        <v>250</v>
      </c>
      <c r="L139" s="4">
        <f t="shared" si="3"/>
        <v>1</v>
      </c>
      <c r="M139" s="46"/>
    </row>
    <row r="140" spans="1:13" ht="23.25" customHeight="1">
      <c r="A140" s="53">
        <v>13</v>
      </c>
      <c r="B140" s="76">
        <v>46365</v>
      </c>
      <c r="C140" s="60" t="s">
        <v>195</v>
      </c>
      <c r="D140" s="58">
        <v>46363</v>
      </c>
      <c r="E140" s="60" t="s">
        <v>61</v>
      </c>
      <c r="F140" s="1">
        <v>250</v>
      </c>
      <c r="G140" s="33"/>
      <c r="H140" s="33">
        <f t="shared" si="0"/>
        <v>0</v>
      </c>
      <c r="I140" s="3">
        <v>2</v>
      </c>
      <c r="J140" s="3">
        <f t="shared" si="12"/>
        <v>500</v>
      </c>
      <c r="K140" s="2">
        <f t="shared" si="2"/>
        <v>500</v>
      </c>
      <c r="L140" s="4">
        <f t="shared" si="3"/>
        <v>2</v>
      </c>
      <c r="M140" s="66"/>
    </row>
    <row r="141" spans="1:13" ht="23.25" customHeight="1">
      <c r="A141" s="53">
        <v>14</v>
      </c>
      <c r="B141" s="76">
        <v>46367</v>
      </c>
      <c r="C141" s="60" t="s">
        <v>195</v>
      </c>
      <c r="D141" s="58">
        <v>46362</v>
      </c>
      <c r="E141" s="60" t="s">
        <v>40</v>
      </c>
      <c r="F141" s="1">
        <v>250</v>
      </c>
      <c r="G141" s="33"/>
      <c r="H141" s="33">
        <f t="shared" si="0"/>
        <v>0</v>
      </c>
      <c r="I141" s="3">
        <v>4</v>
      </c>
      <c r="J141" s="3">
        <f t="shared" si="12"/>
        <v>1000</v>
      </c>
      <c r="K141" s="2">
        <f t="shared" si="2"/>
        <v>1000</v>
      </c>
      <c r="L141" s="4">
        <f t="shared" si="3"/>
        <v>4</v>
      </c>
      <c r="M141" s="66"/>
    </row>
    <row r="142" spans="1:13" ht="23.25" customHeight="1">
      <c r="A142" s="53">
        <v>15</v>
      </c>
      <c r="B142" s="76">
        <v>46367</v>
      </c>
      <c r="C142" s="60" t="s">
        <v>195</v>
      </c>
      <c r="D142" s="58">
        <v>46364</v>
      </c>
      <c r="E142" s="60" t="s">
        <v>61</v>
      </c>
      <c r="F142" s="1">
        <v>250</v>
      </c>
      <c r="G142" s="33"/>
      <c r="H142" s="33">
        <f t="shared" si="0"/>
        <v>0</v>
      </c>
      <c r="I142" s="3">
        <v>2</v>
      </c>
      <c r="J142" s="3">
        <f t="shared" si="12"/>
        <v>500</v>
      </c>
      <c r="K142" s="2">
        <f t="shared" si="2"/>
        <v>500</v>
      </c>
      <c r="L142" s="4">
        <f t="shared" si="3"/>
        <v>2</v>
      </c>
      <c r="M142" s="74"/>
    </row>
    <row r="143" spans="1:13">
      <c r="A143" s="53">
        <v>16</v>
      </c>
      <c r="B143" s="76">
        <v>46368</v>
      </c>
      <c r="C143" s="60" t="s">
        <v>195</v>
      </c>
      <c r="D143" s="58">
        <v>46368</v>
      </c>
      <c r="E143" s="60" t="s">
        <v>62</v>
      </c>
      <c r="F143" s="1">
        <v>250</v>
      </c>
      <c r="G143" s="33">
        <v>1</v>
      </c>
      <c r="H143" s="33">
        <f t="shared" si="0"/>
        <v>250</v>
      </c>
      <c r="I143" s="3"/>
      <c r="J143" s="3">
        <f t="shared" si="12"/>
        <v>0</v>
      </c>
      <c r="K143" s="2">
        <f t="shared" si="2"/>
        <v>250</v>
      </c>
      <c r="L143" s="4">
        <f t="shared" si="3"/>
        <v>1</v>
      </c>
      <c r="M143" s="46"/>
    </row>
    <row r="144" spans="1:13" ht="23.25" customHeight="1">
      <c r="A144" s="53">
        <v>17</v>
      </c>
      <c r="B144" s="76">
        <v>46368</v>
      </c>
      <c r="C144" s="63" t="s">
        <v>195</v>
      </c>
      <c r="D144" s="58">
        <v>46365</v>
      </c>
      <c r="E144" s="60" t="s">
        <v>65</v>
      </c>
      <c r="F144" s="1">
        <v>250</v>
      </c>
      <c r="G144" s="33"/>
      <c r="H144" s="33">
        <f t="shared" si="0"/>
        <v>0</v>
      </c>
      <c r="I144" s="3">
        <v>1</v>
      </c>
      <c r="J144" s="3">
        <f t="shared" si="12"/>
        <v>250</v>
      </c>
      <c r="K144" s="2">
        <f t="shared" si="2"/>
        <v>250</v>
      </c>
      <c r="L144" s="4">
        <f t="shared" si="3"/>
        <v>1</v>
      </c>
      <c r="M144" s="46"/>
    </row>
    <row r="145" spans="1:13" ht="23.25" customHeight="1">
      <c r="A145" s="98">
        <v>18</v>
      </c>
      <c r="B145" s="94">
        <v>46368</v>
      </c>
      <c r="C145" s="91" t="s">
        <v>195</v>
      </c>
      <c r="D145" s="94">
        <v>46367</v>
      </c>
      <c r="E145" s="60" t="s">
        <v>71</v>
      </c>
      <c r="F145" s="1">
        <v>250</v>
      </c>
      <c r="G145" s="33"/>
      <c r="H145" s="33">
        <f t="shared" si="0"/>
        <v>0</v>
      </c>
      <c r="I145" s="3">
        <v>1</v>
      </c>
      <c r="J145" s="3">
        <f t="shared" si="12"/>
        <v>250</v>
      </c>
      <c r="K145" s="2">
        <f t="shared" si="2"/>
        <v>250</v>
      </c>
      <c r="L145" s="4">
        <f t="shared" si="3"/>
        <v>1</v>
      </c>
      <c r="M145" s="46"/>
    </row>
    <row r="146" spans="1:13" ht="23.25" customHeight="1">
      <c r="A146" s="100"/>
      <c r="B146" s="96"/>
      <c r="C146" s="93"/>
      <c r="D146" s="96"/>
      <c r="E146" s="60" t="s">
        <v>70</v>
      </c>
      <c r="F146" s="73">
        <v>250</v>
      </c>
      <c r="G146" s="33"/>
      <c r="H146" s="33">
        <f t="shared" si="0"/>
        <v>0</v>
      </c>
      <c r="I146" s="3">
        <v>2</v>
      </c>
      <c r="J146" s="3">
        <f t="shared" si="12"/>
        <v>500</v>
      </c>
      <c r="K146" s="2">
        <f t="shared" si="2"/>
        <v>500</v>
      </c>
      <c r="L146" s="4">
        <f t="shared" si="3"/>
        <v>2</v>
      </c>
      <c r="M146" s="46"/>
    </row>
    <row r="147" spans="1:13" ht="23.25" customHeight="1">
      <c r="A147" s="53">
        <v>19</v>
      </c>
      <c r="B147" s="76" t="s">
        <v>197</v>
      </c>
      <c r="C147" s="63" t="s">
        <v>51</v>
      </c>
      <c r="D147" s="58">
        <v>46367</v>
      </c>
      <c r="E147" s="60" t="s">
        <v>72</v>
      </c>
      <c r="F147" s="1">
        <v>1000</v>
      </c>
      <c r="G147" s="33"/>
      <c r="H147" s="33">
        <f t="shared" si="0"/>
        <v>0</v>
      </c>
      <c r="I147" s="3">
        <v>1</v>
      </c>
      <c r="J147" s="3">
        <f t="shared" si="12"/>
        <v>1000</v>
      </c>
      <c r="K147" s="2">
        <f t="shared" si="2"/>
        <v>1000</v>
      </c>
      <c r="L147" s="4">
        <f t="shared" si="3"/>
        <v>1</v>
      </c>
      <c r="M147" s="46" t="s">
        <v>234</v>
      </c>
    </row>
    <row r="148" spans="1:13" ht="23.25" customHeight="1">
      <c r="A148" s="98">
        <v>20</v>
      </c>
      <c r="B148" s="94">
        <v>46371</v>
      </c>
      <c r="C148" s="91" t="s">
        <v>195</v>
      </c>
      <c r="D148" s="94">
        <v>46371</v>
      </c>
      <c r="E148" s="60" t="s">
        <v>198</v>
      </c>
      <c r="F148" s="1">
        <v>250</v>
      </c>
      <c r="G148" s="33"/>
      <c r="H148" s="33">
        <f t="shared" si="0"/>
        <v>0</v>
      </c>
      <c r="I148" s="3">
        <v>1</v>
      </c>
      <c r="J148" s="3">
        <f t="shared" si="12"/>
        <v>250</v>
      </c>
      <c r="K148" s="2">
        <f t="shared" si="2"/>
        <v>250</v>
      </c>
      <c r="L148" s="4">
        <f t="shared" si="3"/>
        <v>1</v>
      </c>
      <c r="M148" s="46"/>
    </row>
    <row r="149" spans="1:13" ht="23.25" customHeight="1">
      <c r="A149" s="100"/>
      <c r="B149" s="96"/>
      <c r="C149" s="93"/>
      <c r="D149" s="96"/>
      <c r="E149" s="60" t="s">
        <v>199</v>
      </c>
      <c r="F149" s="1">
        <v>250</v>
      </c>
      <c r="G149" s="33"/>
      <c r="H149" s="33">
        <f t="shared" si="0"/>
        <v>0</v>
      </c>
      <c r="I149" s="3">
        <v>1</v>
      </c>
      <c r="J149" s="3">
        <f t="shared" si="12"/>
        <v>250</v>
      </c>
      <c r="K149" s="2">
        <f t="shared" si="2"/>
        <v>250</v>
      </c>
      <c r="L149" s="4">
        <f t="shared" si="3"/>
        <v>1</v>
      </c>
      <c r="M149" s="46"/>
    </row>
    <row r="150" spans="1:13" ht="23.25" customHeight="1">
      <c r="A150" s="98">
        <v>21</v>
      </c>
      <c r="B150" s="94">
        <v>46371</v>
      </c>
      <c r="C150" s="91" t="s">
        <v>195</v>
      </c>
      <c r="D150" s="94">
        <v>46369</v>
      </c>
      <c r="E150" s="60" t="s">
        <v>85</v>
      </c>
      <c r="F150" s="1">
        <v>250</v>
      </c>
      <c r="G150" s="33"/>
      <c r="H150" s="33">
        <f t="shared" si="0"/>
        <v>0</v>
      </c>
      <c r="I150" s="3">
        <v>1</v>
      </c>
      <c r="J150" s="3">
        <f t="shared" si="12"/>
        <v>250</v>
      </c>
      <c r="K150" s="2">
        <f t="shared" si="2"/>
        <v>250</v>
      </c>
      <c r="L150" s="4">
        <f t="shared" si="3"/>
        <v>1</v>
      </c>
      <c r="M150" s="46"/>
    </row>
    <row r="151" spans="1:13" ht="23.25" customHeight="1">
      <c r="A151" s="100"/>
      <c r="B151" s="96"/>
      <c r="C151" s="93"/>
      <c r="D151" s="96"/>
      <c r="E151" s="60" t="s">
        <v>52</v>
      </c>
      <c r="F151" s="1">
        <v>250</v>
      </c>
      <c r="G151" s="33"/>
      <c r="H151" s="33">
        <f t="shared" si="0"/>
        <v>0</v>
      </c>
      <c r="I151" s="3">
        <v>1</v>
      </c>
      <c r="J151" s="3">
        <f t="shared" si="12"/>
        <v>250</v>
      </c>
      <c r="K151" s="2">
        <f t="shared" si="2"/>
        <v>250</v>
      </c>
      <c r="L151" s="4">
        <f t="shared" si="3"/>
        <v>1</v>
      </c>
      <c r="M151" s="46"/>
    </row>
    <row r="152" spans="1:13" ht="23.25" customHeight="1">
      <c r="A152" s="53">
        <v>22</v>
      </c>
      <c r="B152" s="76" t="s">
        <v>197</v>
      </c>
      <c r="C152" s="60" t="s">
        <v>51</v>
      </c>
      <c r="D152" s="58">
        <v>46371</v>
      </c>
      <c r="E152" s="60" t="s">
        <v>56</v>
      </c>
      <c r="F152" s="1">
        <v>900</v>
      </c>
      <c r="G152" s="33"/>
      <c r="H152" s="33">
        <f t="shared" si="0"/>
        <v>0</v>
      </c>
      <c r="I152" s="3">
        <v>1</v>
      </c>
      <c r="J152" s="3">
        <f t="shared" si="12"/>
        <v>900</v>
      </c>
      <c r="K152" s="2">
        <f t="shared" si="2"/>
        <v>900</v>
      </c>
      <c r="L152" s="4">
        <f t="shared" si="3"/>
        <v>1</v>
      </c>
      <c r="M152" s="46" t="s">
        <v>200</v>
      </c>
    </row>
    <row r="153" spans="1:13" ht="23.25" customHeight="1">
      <c r="A153" s="53">
        <v>23</v>
      </c>
      <c r="B153" s="76" t="s">
        <v>197</v>
      </c>
      <c r="C153" s="60" t="s">
        <v>51</v>
      </c>
      <c r="D153" s="58">
        <v>46369</v>
      </c>
      <c r="E153" s="60" t="s">
        <v>201</v>
      </c>
      <c r="F153" s="1">
        <v>1000</v>
      </c>
      <c r="G153" s="33"/>
      <c r="H153" s="33">
        <f t="shared" si="0"/>
        <v>0</v>
      </c>
      <c r="I153" s="3">
        <v>1</v>
      </c>
      <c r="J153" s="3">
        <f t="shared" si="12"/>
        <v>1000</v>
      </c>
      <c r="K153" s="2">
        <f t="shared" si="2"/>
        <v>1000</v>
      </c>
      <c r="L153" s="4">
        <f t="shared" si="3"/>
        <v>1</v>
      </c>
      <c r="M153" s="46" t="s">
        <v>234</v>
      </c>
    </row>
    <row r="154" spans="1:13" ht="23.25" customHeight="1">
      <c r="A154" s="98">
        <v>24</v>
      </c>
      <c r="B154" s="94">
        <v>46371</v>
      </c>
      <c r="C154" s="91" t="s">
        <v>195</v>
      </c>
      <c r="D154" s="94">
        <v>46370</v>
      </c>
      <c r="E154" s="60" t="s">
        <v>70</v>
      </c>
      <c r="F154" s="1">
        <v>250</v>
      </c>
      <c r="G154" s="33"/>
      <c r="H154" s="33">
        <f t="shared" si="0"/>
        <v>0</v>
      </c>
      <c r="I154" s="3">
        <v>2</v>
      </c>
      <c r="J154" s="3">
        <f t="shared" si="12"/>
        <v>500</v>
      </c>
      <c r="K154" s="2">
        <f t="shared" si="2"/>
        <v>500</v>
      </c>
      <c r="L154" s="4">
        <f t="shared" si="3"/>
        <v>2</v>
      </c>
      <c r="M154" s="46"/>
    </row>
    <row r="155" spans="1:13" ht="23.25" customHeight="1">
      <c r="A155" s="100"/>
      <c r="B155" s="96"/>
      <c r="C155" s="93"/>
      <c r="D155" s="96"/>
      <c r="E155" s="60" t="s">
        <v>62</v>
      </c>
      <c r="F155" s="1">
        <v>250</v>
      </c>
      <c r="G155" s="33"/>
      <c r="H155" s="33">
        <f t="shared" si="0"/>
        <v>0</v>
      </c>
      <c r="I155" s="3">
        <v>1</v>
      </c>
      <c r="J155" s="3">
        <f t="shared" si="12"/>
        <v>250</v>
      </c>
      <c r="K155" s="2">
        <f t="shared" si="2"/>
        <v>250</v>
      </c>
      <c r="L155" s="4">
        <f t="shared" si="3"/>
        <v>1</v>
      </c>
      <c r="M155" s="46"/>
    </row>
    <row r="156" spans="1:13" ht="23.25" customHeight="1">
      <c r="A156" s="53">
        <v>25</v>
      </c>
      <c r="B156" s="76" t="s">
        <v>197</v>
      </c>
      <c r="C156" s="60" t="s">
        <v>51</v>
      </c>
      <c r="D156" s="58">
        <v>46370</v>
      </c>
      <c r="E156" s="60" t="s">
        <v>82</v>
      </c>
      <c r="F156" s="1">
        <v>1000</v>
      </c>
      <c r="G156" s="33"/>
      <c r="H156" s="33">
        <f t="shared" si="0"/>
        <v>0</v>
      </c>
      <c r="I156" s="3">
        <v>1</v>
      </c>
      <c r="J156" s="3">
        <f t="shared" si="12"/>
        <v>1000</v>
      </c>
      <c r="K156" s="2">
        <f t="shared" si="2"/>
        <v>1000</v>
      </c>
      <c r="L156" s="4">
        <f t="shared" si="3"/>
        <v>1</v>
      </c>
      <c r="M156" s="46" t="s">
        <v>234</v>
      </c>
    </row>
    <row r="157" spans="1:13" ht="23.25" customHeight="1">
      <c r="A157" s="53">
        <v>26</v>
      </c>
      <c r="B157" s="76">
        <v>46372</v>
      </c>
      <c r="C157" s="60" t="s">
        <v>195</v>
      </c>
      <c r="D157" s="58">
        <v>46371</v>
      </c>
      <c r="E157" s="60" t="s">
        <v>83</v>
      </c>
      <c r="F157" s="1">
        <v>250</v>
      </c>
      <c r="G157" s="33"/>
      <c r="H157" s="33">
        <f t="shared" si="0"/>
        <v>0</v>
      </c>
      <c r="I157" s="3">
        <v>1</v>
      </c>
      <c r="J157" s="3">
        <f t="shared" si="12"/>
        <v>250</v>
      </c>
      <c r="K157" s="2">
        <f t="shared" si="2"/>
        <v>250</v>
      </c>
      <c r="L157" s="4">
        <f t="shared" si="3"/>
        <v>1</v>
      </c>
      <c r="M157" s="46"/>
    </row>
    <row r="158" spans="1:13" ht="23.25" customHeight="1">
      <c r="A158" s="53">
        <v>27</v>
      </c>
      <c r="B158" s="76">
        <v>46373</v>
      </c>
      <c r="C158" s="60" t="s">
        <v>195</v>
      </c>
      <c r="D158" s="58">
        <v>46371</v>
      </c>
      <c r="E158" s="60" t="s">
        <v>83</v>
      </c>
      <c r="F158" s="1">
        <v>250</v>
      </c>
      <c r="G158" s="33"/>
      <c r="H158" s="33">
        <f t="shared" si="0"/>
        <v>0</v>
      </c>
      <c r="I158" s="3">
        <v>1</v>
      </c>
      <c r="J158" s="3">
        <f t="shared" si="12"/>
        <v>250</v>
      </c>
      <c r="K158" s="2">
        <f t="shared" si="2"/>
        <v>250</v>
      </c>
      <c r="L158" s="4">
        <f t="shared" si="3"/>
        <v>1</v>
      </c>
      <c r="M158" s="46"/>
    </row>
    <row r="159" spans="1:13" ht="23.25" customHeight="1">
      <c r="A159" s="53">
        <v>28</v>
      </c>
      <c r="B159" s="76">
        <v>46372</v>
      </c>
      <c r="C159" s="60" t="s">
        <v>195</v>
      </c>
      <c r="D159" s="58">
        <v>46371</v>
      </c>
      <c r="E159" s="60" t="s">
        <v>84</v>
      </c>
      <c r="F159" s="1">
        <v>250</v>
      </c>
      <c r="G159" s="33"/>
      <c r="H159" s="33">
        <f t="shared" si="0"/>
        <v>0</v>
      </c>
      <c r="I159" s="3">
        <v>1</v>
      </c>
      <c r="J159" s="3">
        <f t="shared" si="12"/>
        <v>250</v>
      </c>
      <c r="K159" s="2">
        <f t="shared" si="2"/>
        <v>250</v>
      </c>
      <c r="L159" s="4">
        <f t="shared" si="3"/>
        <v>1</v>
      </c>
      <c r="M159" s="46"/>
    </row>
    <row r="160" spans="1:13" ht="23.25" customHeight="1">
      <c r="A160" s="53">
        <v>29</v>
      </c>
      <c r="B160" s="76">
        <v>46372</v>
      </c>
      <c r="C160" s="63" t="s">
        <v>195</v>
      </c>
      <c r="D160" s="58">
        <v>46372</v>
      </c>
      <c r="E160" s="60" t="s">
        <v>86</v>
      </c>
      <c r="F160" s="1">
        <v>250</v>
      </c>
      <c r="G160" s="33"/>
      <c r="H160" s="33">
        <f t="shared" si="0"/>
        <v>0</v>
      </c>
      <c r="I160" s="3">
        <v>1</v>
      </c>
      <c r="J160" s="3">
        <f t="shared" si="12"/>
        <v>250</v>
      </c>
      <c r="K160" s="2">
        <f t="shared" si="2"/>
        <v>250</v>
      </c>
      <c r="L160" s="4">
        <f t="shared" si="3"/>
        <v>1</v>
      </c>
      <c r="M160" s="46"/>
    </row>
    <row r="161" spans="1:13" ht="23.25" customHeight="1">
      <c r="A161" s="98">
        <v>30</v>
      </c>
      <c r="B161" s="94">
        <v>46373</v>
      </c>
      <c r="C161" s="91" t="s">
        <v>195</v>
      </c>
      <c r="D161" s="94">
        <v>46373</v>
      </c>
      <c r="E161" s="60" t="s">
        <v>202</v>
      </c>
      <c r="F161" s="1">
        <v>250</v>
      </c>
      <c r="G161" s="33"/>
      <c r="H161" s="33">
        <f t="shared" si="0"/>
        <v>0</v>
      </c>
      <c r="I161" s="3">
        <v>1</v>
      </c>
      <c r="J161" s="3">
        <f t="shared" si="12"/>
        <v>250</v>
      </c>
      <c r="K161" s="2">
        <f t="shared" si="2"/>
        <v>250</v>
      </c>
      <c r="L161" s="4">
        <f t="shared" si="3"/>
        <v>1</v>
      </c>
      <c r="M161" s="46" t="s">
        <v>203</v>
      </c>
    </row>
    <row r="162" spans="1:13" ht="23.25" customHeight="1">
      <c r="A162" s="100"/>
      <c r="B162" s="96"/>
      <c r="C162" s="93"/>
      <c r="D162" s="96"/>
      <c r="E162" s="60" t="s">
        <v>86</v>
      </c>
      <c r="F162" s="1">
        <v>250</v>
      </c>
      <c r="G162" s="33"/>
      <c r="H162" s="33">
        <f t="shared" si="0"/>
        <v>0</v>
      </c>
      <c r="I162" s="3">
        <v>1</v>
      </c>
      <c r="J162" s="3">
        <f t="shared" si="12"/>
        <v>250</v>
      </c>
      <c r="K162" s="2">
        <f t="shared" si="2"/>
        <v>250</v>
      </c>
      <c r="L162" s="4">
        <f t="shared" si="3"/>
        <v>1</v>
      </c>
      <c r="M162" s="46" t="s">
        <v>204</v>
      </c>
    </row>
    <row r="163" spans="1:13" ht="23.25" customHeight="1">
      <c r="A163" s="53">
        <v>31</v>
      </c>
      <c r="B163" s="76">
        <v>46373</v>
      </c>
      <c r="C163" s="60" t="s">
        <v>195</v>
      </c>
      <c r="D163" s="58">
        <v>46374</v>
      </c>
      <c r="E163" s="60" t="s">
        <v>202</v>
      </c>
      <c r="F163" s="1">
        <v>250</v>
      </c>
      <c r="G163" s="33"/>
      <c r="H163" s="33">
        <f t="shared" si="0"/>
        <v>0</v>
      </c>
      <c r="I163" s="3">
        <v>1</v>
      </c>
      <c r="J163" s="3">
        <f t="shared" si="12"/>
        <v>250</v>
      </c>
      <c r="K163" s="2">
        <f t="shared" si="2"/>
        <v>250</v>
      </c>
      <c r="L163" s="4">
        <f t="shared" si="3"/>
        <v>1</v>
      </c>
      <c r="M163" s="46"/>
    </row>
    <row r="164" spans="1:13" ht="23.25" customHeight="1">
      <c r="A164" s="53">
        <v>32</v>
      </c>
      <c r="B164" s="76">
        <v>46373</v>
      </c>
      <c r="C164" s="60" t="s">
        <v>195</v>
      </c>
      <c r="D164" s="58">
        <v>46372</v>
      </c>
      <c r="E164" s="60" t="s">
        <v>84</v>
      </c>
      <c r="F164" s="1">
        <v>250</v>
      </c>
      <c r="G164" s="33"/>
      <c r="H164" s="33">
        <f t="shared" si="0"/>
        <v>0</v>
      </c>
      <c r="I164" s="3">
        <v>1</v>
      </c>
      <c r="J164" s="3">
        <f t="shared" si="12"/>
        <v>250</v>
      </c>
      <c r="K164" s="2">
        <f t="shared" si="2"/>
        <v>250</v>
      </c>
      <c r="L164" s="4">
        <f t="shared" si="3"/>
        <v>1</v>
      </c>
      <c r="M164" s="46"/>
    </row>
    <row r="165" spans="1:13" ht="23.25" customHeight="1">
      <c r="A165" s="53">
        <v>33</v>
      </c>
      <c r="B165" s="76">
        <v>46373</v>
      </c>
      <c r="C165" s="60" t="s">
        <v>195</v>
      </c>
      <c r="D165" s="58">
        <v>46373</v>
      </c>
      <c r="E165" s="60" t="s">
        <v>62</v>
      </c>
      <c r="F165" s="1">
        <v>250</v>
      </c>
      <c r="G165" s="33"/>
      <c r="H165" s="33">
        <f t="shared" si="0"/>
        <v>0</v>
      </c>
      <c r="I165" s="3">
        <v>1</v>
      </c>
      <c r="J165" s="3">
        <f t="shared" si="12"/>
        <v>250</v>
      </c>
      <c r="K165" s="2">
        <f t="shared" si="2"/>
        <v>250</v>
      </c>
      <c r="L165" s="4">
        <f t="shared" si="3"/>
        <v>1</v>
      </c>
      <c r="M165" s="46"/>
    </row>
    <row r="166" spans="1:13" ht="23.25" customHeight="1">
      <c r="A166" s="53">
        <v>34</v>
      </c>
      <c r="B166" s="76">
        <v>46374</v>
      </c>
      <c r="C166" s="60" t="s">
        <v>195</v>
      </c>
      <c r="D166" s="58">
        <v>46374</v>
      </c>
      <c r="E166" s="60" t="s">
        <v>86</v>
      </c>
      <c r="F166" s="1">
        <v>250</v>
      </c>
      <c r="G166" s="33"/>
      <c r="H166" s="33">
        <f t="shared" si="0"/>
        <v>0</v>
      </c>
      <c r="I166" s="3">
        <v>1</v>
      </c>
      <c r="J166" s="3">
        <f t="shared" si="12"/>
        <v>250</v>
      </c>
      <c r="K166" s="2">
        <f t="shared" si="2"/>
        <v>250</v>
      </c>
      <c r="L166" s="4">
        <f t="shared" si="3"/>
        <v>1</v>
      </c>
      <c r="M166" s="46"/>
    </row>
    <row r="167" spans="1:13" ht="23.25" customHeight="1">
      <c r="A167" s="53">
        <v>35</v>
      </c>
      <c r="B167" s="76">
        <v>46375</v>
      </c>
      <c r="C167" s="60" t="s">
        <v>195</v>
      </c>
      <c r="D167" s="58">
        <v>46372</v>
      </c>
      <c r="E167" s="60" t="s">
        <v>52</v>
      </c>
      <c r="F167" s="1">
        <v>250</v>
      </c>
      <c r="G167" s="33"/>
      <c r="H167" s="33">
        <f t="shared" si="0"/>
        <v>0</v>
      </c>
      <c r="I167" s="3">
        <v>1</v>
      </c>
      <c r="J167" s="3">
        <f t="shared" si="12"/>
        <v>250</v>
      </c>
      <c r="K167" s="2">
        <f t="shared" si="2"/>
        <v>250</v>
      </c>
      <c r="L167" s="4">
        <f t="shared" si="3"/>
        <v>1</v>
      </c>
      <c r="M167" s="46"/>
    </row>
    <row r="168" spans="1:13" ht="23.25" customHeight="1">
      <c r="A168" s="53">
        <v>36</v>
      </c>
      <c r="B168" s="76">
        <v>46379</v>
      </c>
      <c r="C168" s="63" t="s">
        <v>195</v>
      </c>
      <c r="D168" s="58">
        <v>46372</v>
      </c>
      <c r="E168" s="60" t="s">
        <v>87</v>
      </c>
      <c r="F168" s="1">
        <v>250</v>
      </c>
      <c r="G168" s="33"/>
      <c r="H168" s="33">
        <f t="shared" si="0"/>
        <v>0</v>
      </c>
      <c r="I168" s="3">
        <v>1</v>
      </c>
      <c r="J168" s="3">
        <f t="shared" si="12"/>
        <v>250</v>
      </c>
      <c r="K168" s="2">
        <f t="shared" si="2"/>
        <v>250</v>
      </c>
      <c r="L168" s="4">
        <f t="shared" si="3"/>
        <v>1</v>
      </c>
      <c r="M168" s="46"/>
    </row>
    <row r="169" spans="1:13" ht="23.25" customHeight="1">
      <c r="A169" s="53">
        <v>37</v>
      </c>
      <c r="B169" s="76">
        <v>46379</v>
      </c>
      <c r="C169" s="63" t="s">
        <v>195</v>
      </c>
      <c r="D169" s="58">
        <v>46376</v>
      </c>
      <c r="E169" s="60" t="s">
        <v>101</v>
      </c>
      <c r="F169" s="1">
        <v>250</v>
      </c>
      <c r="G169" s="33"/>
      <c r="H169" s="33">
        <f t="shared" si="0"/>
        <v>0</v>
      </c>
      <c r="I169" s="3">
        <v>2</v>
      </c>
      <c r="J169" s="3">
        <f t="shared" si="12"/>
        <v>500</v>
      </c>
      <c r="K169" s="2">
        <f t="shared" si="2"/>
        <v>500</v>
      </c>
      <c r="L169" s="4">
        <f t="shared" si="3"/>
        <v>2</v>
      </c>
      <c r="M169" s="46"/>
    </row>
    <row r="170" spans="1:13" ht="23.25" customHeight="1">
      <c r="A170" s="98">
        <v>38</v>
      </c>
      <c r="B170" s="94">
        <v>46379</v>
      </c>
      <c r="C170" s="91" t="s">
        <v>195</v>
      </c>
      <c r="D170" s="94">
        <v>46378</v>
      </c>
      <c r="E170" s="60" t="s">
        <v>205</v>
      </c>
      <c r="F170" s="1">
        <v>250</v>
      </c>
      <c r="G170" s="33"/>
      <c r="H170" s="33">
        <f t="shared" si="0"/>
        <v>0</v>
      </c>
      <c r="I170" s="3">
        <v>1</v>
      </c>
      <c r="J170" s="3">
        <f t="shared" si="12"/>
        <v>250</v>
      </c>
      <c r="K170" s="2">
        <f t="shared" si="2"/>
        <v>250</v>
      </c>
      <c r="L170" s="4">
        <f t="shared" si="3"/>
        <v>1</v>
      </c>
      <c r="M170" s="46"/>
    </row>
    <row r="171" spans="1:13" ht="23.25" customHeight="1">
      <c r="A171" s="100"/>
      <c r="B171" s="96"/>
      <c r="C171" s="93"/>
      <c r="D171" s="96"/>
      <c r="E171" s="60" t="s">
        <v>113</v>
      </c>
      <c r="F171" s="1">
        <v>250</v>
      </c>
      <c r="G171" s="33"/>
      <c r="H171" s="33">
        <f t="shared" si="0"/>
        <v>0</v>
      </c>
      <c r="I171" s="3">
        <v>2</v>
      </c>
      <c r="J171" s="3">
        <f t="shared" si="12"/>
        <v>500</v>
      </c>
      <c r="K171" s="2">
        <f t="shared" si="2"/>
        <v>500</v>
      </c>
      <c r="L171" s="4">
        <f t="shared" si="3"/>
        <v>2</v>
      </c>
      <c r="M171" s="46"/>
    </row>
    <row r="172" spans="1:13" ht="23.25" customHeight="1">
      <c r="A172" s="53">
        <v>39</v>
      </c>
      <c r="B172" s="76">
        <v>46379</v>
      </c>
      <c r="C172" s="63" t="s">
        <v>195</v>
      </c>
      <c r="D172" s="58">
        <v>46378</v>
      </c>
      <c r="E172" s="60" t="s">
        <v>206</v>
      </c>
      <c r="F172" s="1">
        <v>250</v>
      </c>
      <c r="G172" s="33"/>
      <c r="H172" s="33">
        <f t="shared" si="0"/>
        <v>0</v>
      </c>
      <c r="I172" s="3">
        <v>1</v>
      </c>
      <c r="J172" s="3">
        <f t="shared" si="12"/>
        <v>250</v>
      </c>
      <c r="K172" s="2">
        <f t="shared" si="2"/>
        <v>250</v>
      </c>
      <c r="L172" s="4">
        <f t="shared" si="3"/>
        <v>1</v>
      </c>
      <c r="M172" s="85" t="s">
        <v>207</v>
      </c>
    </row>
    <row r="173" spans="1:13" ht="23.25" customHeight="1">
      <c r="A173" s="98">
        <v>40</v>
      </c>
      <c r="B173" s="94">
        <v>46379</v>
      </c>
      <c r="C173" s="91" t="s">
        <v>195</v>
      </c>
      <c r="D173" s="94">
        <v>46379</v>
      </c>
      <c r="E173" s="60" t="s">
        <v>118</v>
      </c>
      <c r="F173" s="1">
        <v>250</v>
      </c>
      <c r="G173" s="33"/>
      <c r="H173" s="33">
        <f t="shared" si="0"/>
        <v>0</v>
      </c>
      <c r="I173" s="3">
        <v>2</v>
      </c>
      <c r="J173" s="3">
        <f t="shared" si="12"/>
        <v>500</v>
      </c>
      <c r="K173" s="2">
        <f t="shared" si="2"/>
        <v>500</v>
      </c>
      <c r="L173" s="4">
        <f t="shared" si="3"/>
        <v>2</v>
      </c>
      <c r="M173" s="46"/>
    </row>
    <row r="174" spans="1:13" ht="23.25" customHeight="1">
      <c r="A174" s="99"/>
      <c r="B174" s="95"/>
      <c r="C174" s="92"/>
      <c r="D174" s="95"/>
      <c r="E174" s="60" t="s">
        <v>71</v>
      </c>
      <c r="F174" s="1">
        <v>250</v>
      </c>
      <c r="G174" s="33"/>
      <c r="H174" s="33">
        <f t="shared" si="0"/>
        <v>0</v>
      </c>
      <c r="I174" s="3">
        <v>2</v>
      </c>
      <c r="J174" s="3">
        <f t="shared" si="12"/>
        <v>500</v>
      </c>
      <c r="K174" s="2">
        <f t="shared" si="2"/>
        <v>500</v>
      </c>
      <c r="L174" s="4">
        <f t="shared" si="3"/>
        <v>2</v>
      </c>
      <c r="M174" s="46"/>
    </row>
    <row r="175" spans="1:13" ht="23.25" customHeight="1">
      <c r="A175" s="99"/>
      <c r="B175" s="95"/>
      <c r="C175" s="92"/>
      <c r="D175" s="95"/>
      <c r="E175" s="63" t="s">
        <v>208</v>
      </c>
      <c r="F175" s="1">
        <v>200</v>
      </c>
      <c r="G175" s="33"/>
      <c r="H175" s="33">
        <f t="shared" si="0"/>
        <v>0</v>
      </c>
      <c r="I175" s="3">
        <v>2</v>
      </c>
      <c r="J175" s="3">
        <f t="shared" si="12"/>
        <v>400</v>
      </c>
      <c r="K175" s="2">
        <f t="shared" si="2"/>
        <v>400</v>
      </c>
      <c r="L175" s="4">
        <f t="shared" si="3"/>
        <v>2</v>
      </c>
      <c r="M175" s="46" t="s">
        <v>209</v>
      </c>
    </row>
    <row r="176" spans="1:13" ht="23.25" customHeight="1">
      <c r="A176" s="100"/>
      <c r="B176" s="96"/>
      <c r="C176" s="93"/>
      <c r="D176" s="96"/>
      <c r="E176" s="63" t="s">
        <v>119</v>
      </c>
      <c r="F176" s="1">
        <v>250</v>
      </c>
      <c r="G176" s="33"/>
      <c r="H176" s="33">
        <f t="shared" si="0"/>
        <v>0</v>
      </c>
      <c r="I176" s="3">
        <v>1</v>
      </c>
      <c r="J176" s="3">
        <f t="shared" si="12"/>
        <v>250</v>
      </c>
      <c r="K176" s="2">
        <f t="shared" si="2"/>
        <v>250</v>
      </c>
      <c r="L176" s="4">
        <f t="shared" si="3"/>
        <v>1</v>
      </c>
      <c r="M176" s="46"/>
    </row>
    <row r="177" spans="1:13">
      <c r="A177" s="98">
        <v>41</v>
      </c>
      <c r="B177" s="94">
        <v>46385</v>
      </c>
      <c r="C177" s="91" t="s">
        <v>195</v>
      </c>
      <c r="D177" s="94">
        <v>46384</v>
      </c>
      <c r="E177" s="63" t="s">
        <v>128</v>
      </c>
      <c r="F177" s="1">
        <v>250</v>
      </c>
      <c r="G177" s="33"/>
      <c r="H177" s="33">
        <f t="shared" si="0"/>
        <v>0</v>
      </c>
      <c r="I177" s="3">
        <v>1</v>
      </c>
      <c r="J177" s="3">
        <f t="shared" si="12"/>
        <v>250</v>
      </c>
      <c r="K177" s="2">
        <f t="shared" si="2"/>
        <v>250</v>
      </c>
      <c r="L177" s="4">
        <f t="shared" si="3"/>
        <v>1</v>
      </c>
      <c r="M177" s="55"/>
    </row>
    <row r="178" spans="1:13" ht="20.5" customHeight="1">
      <c r="A178" s="100"/>
      <c r="B178" s="96"/>
      <c r="C178" s="93"/>
      <c r="D178" s="96"/>
      <c r="E178" s="63" t="s">
        <v>129</v>
      </c>
      <c r="F178" s="1">
        <v>250</v>
      </c>
      <c r="G178" s="33"/>
      <c r="H178" s="33">
        <f t="shared" si="0"/>
        <v>0</v>
      </c>
      <c r="I178" s="3">
        <v>1</v>
      </c>
      <c r="J178" s="3">
        <f t="shared" si="12"/>
        <v>250</v>
      </c>
      <c r="K178" s="2">
        <f t="shared" si="2"/>
        <v>250</v>
      </c>
      <c r="L178" s="4">
        <f t="shared" si="3"/>
        <v>1</v>
      </c>
      <c r="M178" s="55"/>
    </row>
    <row r="179" spans="1:13" ht="20.5" customHeight="1">
      <c r="A179" s="53">
        <v>42</v>
      </c>
      <c r="B179" s="76">
        <v>46386</v>
      </c>
      <c r="C179" s="63" t="s">
        <v>195</v>
      </c>
      <c r="D179" s="58">
        <v>46385</v>
      </c>
      <c r="E179" s="63" t="s">
        <v>210</v>
      </c>
      <c r="F179" s="1">
        <v>250</v>
      </c>
      <c r="G179" s="33"/>
      <c r="H179" s="33">
        <f t="shared" si="0"/>
        <v>0</v>
      </c>
      <c r="I179" s="3">
        <v>5</v>
      </c>
      <c r="J179" s="3">
        <f t="shared" si="12"/>
        <v>1250</v>
      </c>
      <c r="K179" s="2">
        <f t="shared" si="2"/>
        <v>1250</v>
      </c>
      <c r="L179" s="4">
        <f t="shared" si="3"/>
        <v>5</v>
      </c>
      <c r="M179" s="55"/>
    </row>
    <row r="180" spans="1:13" ht="23.25" customHeight="1">
      <c r="A180" s="53"/>
      <c r="B180" s="117" t="s">
        <v>211</v>
      </c>
      <c r="C180" s="122"/>
      <c r="D180" s="122"/>
      <c r="E180" s="122"/>
      <c r="F180" s="118"/>
      <c r="G180" s="33"/>
      <c r="H180" s="33">
        <f t="shared" si="0"/>
        <v>0</v>
      </c>
      <c r="I180" s="3"/>
      <c r="J180" s="3">
        <f t="shared" si="12"/>
        <v>0</v>
      </c>
      <c r="K180" s="2">
        <f t="shared" si="2"/>
        <v>0</v>
      </c>
      <c r="L180" s="4">
        <f t="shared" si="3"/>
        <v>0</v>
      </c>
      <c r="M180" s="46"/>
    </row>
    <row r="181" spans="1:13" ht="23.25" customHeight="1">
      <c r="A181" s="53"/>
      <c r="B181" s="94">
        <v>46032</v>
      </c>
      <c r="C181" s="63" t="s">
        <v>213</v>
      </c>
      <c r="D181" s="94">
        <v>46385</v>
      </c>
      <c r="E181" s="94" t="s">
        <v>212</v>
      </c>
      <c r="F181" s="1">
        <v>200</v>
      </c>
      <c r="G181" s="33"/>
      <c r="H181" s="33">
        <f t="shared" si="0"/>
        <v>0</v>
      </c>
      <c r="I181" s="3">
        <v>5</v>
      </c>
      <c r="J181" s="3">
        <f t="shared" si="12"/>
        <v>1000</v>
      </c>
      <c r="K181" s="2">
        <f t="shared" si="2"/>
        <v>1000</v>
      </c>
      <c r="L181" s="4">
        <f t="shared" si="3"/>
        <v>5</v>
      </c>
      <c r="M181" s="46"/>
    </row>
    <row r="182" spans="1:13" ht="23.25" customHeight="1">
      <c r="A182" s="53"/>
      <c r="B182" s="95"/>
      <c r="C182" s="63" t="s">
        <v>214</v>
      </c>
      <c r="D182" s="95"/>
      <c r="E182" s="95"/>
      <c r="F182" s="1">
        <v>50</v>
      </c>
      <c r="G182" s="33"/>
      <c r="H182" s="33">
        <f t="shared" si="0"/>
        <v>0</v>
      </c>
      <c r="I182" s="3">
        <v>2</v>
      </c>
      <c r="J182" s="3">
        <f t="shared" si="12"/>
        <v>100</v>
      </c>
      <c r="K182" s="2">
        <f t="shared" si="2"/>
        <v>100</v>
      </c>
      <c r="L182" s="4">
        <f t="shared" si="3"/>
        <v>2</v>
      </c>
      <c r="M182" s="46"/>
    </row>
    <row r="183" spans="1:13" ht="23.25" customHeight="1">
      <c r="A183" s="53"/>
      <c r="B183" s="95"/>
      <c r="C183" s="63" t="s">
        <v>215</v>
      </c>
      <c r="D183" s="95"/>
      <c r="E183" s="95"/>
      <c r="F183" s="1">
        <v>50</v>
      </c>
      <c r="G183" s="33"/>
      <c r="H183" s="33">
        <f t="shared" si="0"/>
        <v>0</v>
      </c>
      <c r="I183" s="3">
        <v>2</v>
      </c>
      <c r="J183" s="3">
        <f t="shared" si="12"/>
        <v>100</v>
      </c>
      <c r="K183" s="2">
        <f t="shared" si="2"/>
        <v>100</v>
      </c>
      <c r="L183" s="4">
        <f t="shared" si="3"/>
        <v>2</v>
      </c>
      <c r="M183" s="46"/>
    </row>
    <row r="184" spans="1:13" ht="23.25" customHeight="1">
      <c r="A184" s="53"/>
      <c r="B184" s="95"/>
      <c r="C184" s="63" t="s">
        <v>216</v>
      </c>
      <c r="D184" s="95"/>
      <c r="E184" s="95"/>
      <c r="F184" s="1">
        <v>70</v>
      </c>
      <c r="G184" s="33"/>
      <c r="H184" s="33">
        <f t="shared" si="0"/>
        <v>0</v>
      </c>
      <c r="I184" s="3">
        <v>2</v>
      </c>
      <c r="J184" s="3">
        <f t="shared" si="12"/>
        <v>140</v>
      </c>
      <c r="K184" s="2">
        <f t="shared" si="2"/>
        <v>140</v>
      </c>
      <c r="L184" s="4">
        <f t="shared" si="3"/>
        <v>2</v>
      </c>
      <c r="M184" s="46"/>
    </row>
    <row r="185" spans="1:13" ht="23.25" customHeight="1">
      <c r="A185" s="53"/>
      <c r="B185" s="95"/>
      <c r="C185" s="63" t="s">
        <v>217</v>
      </c>
      <c r="D185" s="95"/>
      <c r="E185" s="95"/>
      <c r="F185" s="1">
        <v>60</v>
      </c>
      <c r="G185" s="33"/>
      <c r="H185" s="33">
        <f t="shared" si="0"/>
        <v>0</v>
      </c>
      <c r="I185" s="3">
        <v>2</v>
      </c>
      <c r="J185" s="3">
        <f t="shared" si="12"/>
        <v>120</v>
      </c>
      <c r="K185" s="2">
        <f t="shared" si="2"/>
        <v>120</v>
      </c>
      <c r="L185" s="4">
        <f t="shared" si="3"/>
        <v>2</v>
      </c>
      <c r="M185" s="46"/>
    </row>
    <row r="186" spans="1:13" ht="23.25" customHeight="1">
      <c r="A186" s="53"/>
      <c r="B186" s="96"/>
      <c r="C186" s="63" t="s">
        <v>218</v>
      </c>
      <c r="D186" s="96"/>
      <c r="E186" s="96"/>
      <c r="F186" s="1">
        <v>140</v>
      </c>
      <c r="G186" s="33"/>
      <c r="H186" s="33">
        <f t="shared" si="0"/>
        <v>0</v>
      </c>
      <c r="I186" s="3">
        <v>1</v>
      </c>
      <c r="J186" s="3">
        <f t="shared" si="12"/>
        <v>140</v>
      </c>
      <c r="K186" s="2">
        <f t="shared" si="2"/>
        <v>140</v>
      </c>
      <c r="L186" s="4">
        <f t="shared" si="3"/>
        <v>1</v>
      </c>
      <c r="M186" s="46"/>
    </row>
    <row r="187" spans="1:13" ht="23.25" customHeight="1">
      <c r="A187" s="53"/>
      <c r="B187" s="94">
        <v>46038</v>
      </c>
      <c r="C187" s="60" t="s">
        <v>219</v>
      </c>
      <c r="D187" s="94">
        <v>46385</v>
      </c>
      <c r="E187" s="114" t="s">
        <v>220</v>
      </c>
      <c r="F187" s="1">
        <v>250</v>
      </c>
      <c r="G187" s="33"/>
      <c r="H187" s="33">
        <f t="shared" si="0"/>
        <v>0</v>
      </c>
      <c r="I187" s="3">
        <v>10</v>
      </c>
      <c r="J187" s="3">
        <f t="shared" si="12"/>
        <v>2500</v>
      </c>
      <c r="K187" s="2">
        <f t="shared" si="2"/>
        <v>2500</v>
      </c>
      <c r="L187" s="4">
        <f t="shared" si="3"/>
        <v>10</v>
      </c>
      <c r="M187" s="66"/>
    </row>
    <row r="188" spans="1:13" ht="23.25" customHeight="1">
      <c r="A188" s="53"/>
      <c r="B188" s="95"/>
      <c r="C188" s="60" t="s">
        <v>221</v>
      </c>
      <c r="D188" s="95"/>
      <c r="E188" s="116"/>
      <c r="F188" s="1">
        <v>70</v>
      </c>
      <c r="G188" s="33"/>
      <c r="H188" s="33">
        <f t="shared" si="0"/>
        <v>0</v>
      </c>
      <c r="I188" s="3">
        <v>10</v>
      </c>
      <c r="J188" s="3">
        <f t="shared" si="12"/>
        <v>700</v>
      </c>
      <c r="K188" s="2">
        <f t="shared" si="2"/>
        <v>700</v>
      </c>
      <c r="L188" s="4">
        <f t="shared" ref="L188" si="16">SUM(G188+I188)</f>
        <v>10</v>
      </c>
      <c r="M188" s="66"/>
    </row>
    <row r="189" spans="1:13" ht="23.25" customHeight="1">
      <c r="A189" s="53"/>
      <c r="B189" s="95"/>
      <c r="C189" s="60" t="s">
        <v>222</v>
      </c>
      <c r="D189" s="95"/>
      <c r="E189" s="116"/>
      <c r="F189" s="1">
        <v>400</v>
      </c>
      <c r="G189" s="33"/>
      <c r="H189" s="33">
        <f t="shared" si="0"/>
        <v>0</v>
      </c>
      <c r="I189" s="3">
        <v>1</v>
      </c>
      <c r="J189" s="3">
        <f t="shared" si="12"/>
        <v>400</v>
      </c>
      <c r="K189" s="2">
        <f t="shared" si="2"/>
        <v>400</v>
      </c>
      <c r="L189" s="4">
        <f t="shared" si="3"/>
        <v>1</v>
      </c>
      <c r="M189" s="66"/>
    </row>
    <row r="190" spans="1:13" ht="23.25" customHeight="1">
      <c r="A190" s="53"/>
      <c r="B190" s="96"/>
      <c r="C190" s="60" t="s">
        <v>218</v>
      </c>
      <c r="D190" s="96"/>
      <c r="E190" s="115"/>
      <c r="F190" s="1">
        <v>200</v>
      </c>
      <c r="G190" s="33"/>
      <c r="H190" s="33">
        <f t="shared" si="0"/>
        <v>0</v>
      </c>
      <c r="I190" s="3">
        <v>1</v>
      </c>
      <c r="J190" s="3">
        <f t="shared" si="12"/>
        <v>200</v>
      </c>
      <c r="K190" s="2">
        <f t="shared" si="2"/>
        <v>200</v>
      </c>
      <c r="L190" s="4">
        <f t="shared" si="3"/>
        <v>1</v>
      </c>
      <c r="M190" s="66"/>
    </row>
    <row r="191" spans="1:13" ht="23.25" customHeight="1">
      <c r="A191" s="53"/>
      <c r="B191" s="76">
        <v>11</v>
      </c>
      <c r="C191" s="60" t="s">
        <v>33</v>
      </c>
      <c r="D191" s="58">
        <v>46373</v>
      </c>
      <c r="E191" s="63" t="s">
        <v>95</v>
      </c>
      <c r="F191" s="1">
        <v>700</v>
      </c>
      <c r="G191" s="33"/>
      <c r="H191" s="33">
        <f t="shared" si="0"/>
        <v>0</v>
      </c>
      <c r="I191" s="3">
        <v>1</v>
      </c>
      <c r="J191" s="3">
        <f t="shared" si="12"/>
        <v>700</v>
      </c>
      <c r="K191" s="2">
        <f t="shared" si="2"/>
        <v>700</v>
      </c>
      <c r="L191" s="4">
        <f t="shared" si="3"/>
        <v>1</v>
      </c>
      <c r="M191" s="66"/>
    </row>
    <row r="192" spans="1:13" ht="23.25" customHeight="1">
      <c r="A192" s="53"/>
      <c r="B192" s="78" t="s">
        <v>27</v>
      </c>
      <c r="C192" s="60" t="s">
        <v>14</v>
      </c>
      <c r="D192" s="58">
        <v>46357</v>
      </c>
      <c r="E192" s="63" t="s">
        <v>28</v>
      </c>
      <c r="F192" s="1">
        <v>475</v>
      </c>
      <c r="G192" s="33"/>
      <c r="H192" s="33">
        <f t="shared" si="0"/>
        <v>0</v>
      </c>
      <c r="I192" s="3">
        <v>2</v>
      </c>
      <c r="J192" s="3">
        <f t="shared" si="12"/>
        <v>950</v>
      </c>
      <c r="K192" s="2">
        <f t="shared" si="2"/>
        <v>950</v>
      </c>
      <c r="L192" s="4">
        <f t="shared" si="3"/>
        <v>2</v>
      </c>
      <c r="M192" s="66"/>
    </row>
    <row r="193" spans="1:15" ht="23.25" customHeight="1">
      <c r="A193" s="53"/>
      <c r="B193" s="76"/>
      <c r="C193" s="60"/>
      <c r="D193" s="58"/>
      <c r="E193" s="63"/>
      <c r="F193" s="1"/>
      <c r="G193" s="33"/>
      <c r="H193" s="33">
        <f t="shared" si="0"/>
        <v>0</v>
      </c>
      <c r="I193" s="3"/>
      <c r="J193" s="3">
        <f t="shared" ref="J193:J196" si="17">SUM(I193*F193)</f>
        <v>0</v>
      </c>
      <c r="K193" s="2">
        <f t="shared" si="2"/>
        <v>0</v>
      </c>
      <c r="L193" s="4">
        <f t="shared" si="3"/>
        <v>0</v>
      </c>
      <c r="M193" s="66"/>
    </row>
    <row r="194" spans="1:15" ht="23.25" customHeight="1">
      <c r="A194" s="53"/>
      <c r="B194" s="117" t="s">
        <v>227</v>
      </c>
      <c r="C194" s="118"/>
      <c r="D194" s="58"/>
      <c r="E194" s="63"/>
      <c r="F194" s="1"/>
      <c r="G194" s="33"/>
      <c r="H194" s="33">
        <f t="shared" si="0"/>
        <v>0</v>
      </c>
      <c r="I194" s="3"/>
      <c r="J194" s="3">
        <f t="shared" si="17"/>
        <v>0</v>
      </c>
      <c r="K194" s="2">
        <f t="shared" si="2"/>
        <v>0</v>
      </c>
      <c r="L194" s="4">
        <f t="shared" si="3"/>
        <v>0</v>
      </c>
      <c r="M194" s="46"/>
    </row>
    <row r="195" spans="1:15" ht="23.25" customHeight="1">
      <c r="A195" s="53"/>
      <c r="B195" s="76">
        <v>46385</v>
      </c>
      <c r="C195" s="60" t="s">
        <v>88</v>
      </c>
      <c r="D195" s="58">
        <v>46337</v>
      </c>
      <c r="E195" s="63" t="s">
        <v>228</v>
      </c>
      <c r="F195" s="64">
        <v>475</v>
      </c>
      <c r="G195" s="33"/>
      <c r="H195" s="33">
        <f t="shared" si="0"/>
        <v>0</v>
      </c>
      <c r="I195" s="3"/>
      <c r="J195" s="3">
        <f t="shared" si="17"/>
        <v>0</v>
      </c>
      <c r="K195" s="2">
        <f t="shared" si="2"/>
        <v>0</v>
      </c>
      <c r="L195" s="4">
        <f t="shared" si="3"/>
        <v>0</v>
      </c>
      <c r="M195" s="66" t="s">
        <v>229</v>
      </c>
    </row>
    <row r="196" spans="1:15" ht="41">
      <c r="A196" s="53"/>
      <c r="B196" s="58">
        <v>46383</v>
      </c>
      <c r="C196" s="60" t="s">
        <v>41</v>
      </c>
      <c r="D196" s="58">
        <v>46285</v>
      </c>
      <c r="E196" s="63" t="s">
        <v>230</v>
      </c>
      <c r="F196" s="64">
        <v>550</v>
      </c>
      <c r="G196" s="33"/>
      <c r="H196" s="33">
        <f t="shared" si="0"/>
        <v>0</v>
      </c>
      <c r="I196" s="3"/>
      <c r="J196" s="3">
        <f t="shared" si="17"/>
        <v>0</v>
      </c>
      <c r="K196" s="2">
        <f t="shared" si="2"/>
        <v>0</v>
      </c>
      <c r="L196" s="4">
        <f t="shared" si="3"/>
        <v>0</v>
      </c>
      <c r="M196" s="66" t="s">
        <v>231</v>
      </c>
    </row>
    <row r="197" spans="1:15">
      <c r="A197" s="53"/>
      <c r="B197" s="79"/>
      <c r="C197" s="41"/>
      <c r="D197" s="62"/>
      <c r="E197" s="27"/>
      <c r="F197" s="1"/>
      <c r="G197" s="33">
        <f>SUM(G5:G196)</f>
        <v>11</v>
      </c>
      <c r="H197" s="24">
        <f>SUM(H5:H196)</f>
        <v>4950</v>
      </c>
      <c r="I197" s="51">
        <f>SUM(I5:I196)</f>
        <v>451</v>
      </c>
      <c r="J197" s="23">
        <f>SUM(J5:J196)</f>
        <v>132118.5</v>
      </c>
      <c r="K197" s="6">
        <f>SUM(K5:K196)</f>
        <v>137068.5</v>
      </c>
      <c r="L197" s="4">
        <f t="shared" ref="L197" si="18">SUM(G197+I197)</f>
        <v>462</v>
      </c>
      <c r="M197" s="46"/>
    </row>
    <row r="198" spans="1:15" s="5" customFormat="1">
      <c r="B198" s="22"/>
      <c r="C198" s="42"/>
      <c r="D198" s="42"/>
      <c r="E198" s="29"/>
      <c r="G198" s="34"/>
      <c r="I198" s="7"/>
      <c r="M198" s="47"/>
      <c r="N198"/>
      <c r="O198"/>
    </row>
    <row r="199" spans="1:15">
      <c r="C199" s="42"/>
      <c r="D199" s="42"/>
      <c r="F199" s="5"/>
      <c r="H199" s="8"/>
      <c r="I199" s="7"/>
      <c r="J199" s="8"/>
      <c r="K199" s="9"/>
    </row>
    <row r="200" spans="1:15" ht="21" thickBot="1">
      <c r="C200" s="42"/>
      <c r="D200" s="42"/>
      <c r="F200" s="5"/>
      <c r="H200" s="8"/>
      <c r="I200" s="7"/>
      <c r="J200" s="8"/>
    </row>
    <row r="201" spans="1:15">
      <c r="C201" s="42"/>
      <c r="D201" s="42"/>
      <c r="F201" s="38" t="s">
        <v>2</v>
      </c>
      <c r="G201" s="35">
        <f>SUM(H197)</f>
        <v>4950</v>
      </c>
      <c r="H201" s="10">
        <f>SUM(G201*25%)</f>
        <v>1237.5</v>
      </c>
      <c r="I201" s="11">
        <f>SUM(G201-H201)</f>
        <v>3712.5</v>
      </c>
      <c r="J201" s="12"/>
      <c r="K201" s="8"/>
    </row>
    <row r="202" spans="1:15">
      <c r="C202" s="42"/>
      <c r="D202" s="42"/>
      <c r="F202" s="39" t="s">
        <v>7</v>
      </c>
      <c r="G202" s="36">
        <v>743.23</v>
      </c>
      <c r="H202" s="13">
        <f>SUM(G202*25%)</f>
        <v>185.8075</v>
      </c>
      <c r="I202" s="14">
        <f>SUM(G202-H202)</f>
        <v>557.42250000000001</v>
      </c>
      <c r="J202" s="12"/>
      <c r="K202" s="54"/>
    </row>
    <row r="203" spans="1:15">
      <c r="C203" s="42"/>
      <c r="D203" s="42"/>
      <c r="F203" s="39" t="s">
        <v>3</v>
      </c>
      <c r="G203" s="36">
        <f>SUM(J197)</f>
        <v>132118.5</v>
      </c>
      <c r="H203" s="13">
        <f>SUM(G203*25%)</f>
        <v>33029.625</v>
      </c>
      <c r="I203" s="14">
        <f>SUM(H203)</f>
        <v>33029.625</v>
      </c>
      <c r="J203" s="5"/>
      <c r="K203" s="8"/>
    </row>
    <row r="204" spans="1:15" ht="21" thickBot="1">
      <c r="C204" s="42"/>
      <c r="D204" s="42"/>
      <c r="F204" s="110" t="s">
        <v>8</v>
      </c>
      <c r="G204" s="111"/>
      <c r="H204" s="111"/>
      <c r="I204" s="15">
        <f>SUM(I201,I202-I203)</f>
        <v>-28759.702499999999</v>
      </c>
      <c r="J204" s="5"/>
      <c r="K204" s="8"/>
    </row>
    <row r="205" spans="1:15" ht="21" thickBot="1">
      <c r="C205" s="42"/>
      <c r="D205" s="42"/>
      <c r="F205" s="5"/>
      <c r="H205" s="5"/>
      <c r="I205" s="7"/>
      <c r="J205" s="5"/>
      <c r="K205" s="8"/>
    </row>
    <row r="206" spans="1:15">
      <c r="C206" s="42"/>
      <c r="D206" s="42"/>
      <c r="F206" s="16"/>
      <c r="G206" s="17" t="s">
        <v>9</v>
      </c>
      <c r="H206" s="17" t="s">
        <v>10</v>
      </c>
      <c r="I206" s="18"/>
      <c r="J206" s="5"/>
    </row>
    <row r="207" spans="1:15">
      <c r="C207" s="42"/>
      <c r="D207" s="42"/>
      <c r="F207" s="40" t="s">
        <v>2</v>
      </c>
      <c r="G207" s="37">
        <f>SUM(G201:G202)</f>
        <v>5693.23</v>
      </c>
      <c r="H207" s="19">
        <f>SUM(G207*25%)</f>
        <v>1423.3074999999999</v>
      </c>
      <c r="I207" s="20">
        <f>SUM(G207-H207)</f>
        <v>4269.9224999999997</v>
      </c>
      <c r="J207" s="5"/>
    </row>
    <row r="208" spans="1:15">
      <c r="C208" s="42"/>
      <c r="D208" s="42"/>
      <c r="F208" s="40" t="s">
        <v>3</v>
      </c>
      <c r="G208" s="37">
        <f>SUM(J197)</f>
        <v>132118.5</v>
      </c>
      <c r="H208" s="19">
        <f>SUM(G208*25%)</f>
        <v>33029.625</v>
      </c>
      <c r="I208" s="20">
        <f>SUM(H208)</f>
        <v>33029.625</v>
      </c>
      <c r="J208" s="5"/>
    </row>
    <row r="209" spans="2:10" ht="21" thickBot="1">
      <c r="C209" s="42"/>
      <c r="D209" s="42"/>
      <c r="F209" s="107" t="s">
        <v>8</v>
      </c>
      <c r="G209" s="107"/>
      <c r="H209" s="107"/>
      <c r="I209" s="21">
        <f>SUM(I207-I208)</f>
        <v>-28759.702499999999</v>
      </c>
      <c r="J209" s="5"/>
    </row>
    <row r="212" spans="2:10">
      <c r="B212" s="67" t="s">
        <v>132</v>
      </c>
      <c r="C212" s="67" t="s">
        <v>232</v>
      </c>
      <c r="D212" s="68" t="s">
        <v>133</v>
      </c>
      <c r="E212" s="68" t="s">
        <v>134</v>
      </c>
      <c r="F212" s="87" t="s">
        <v>4</v>
      </c>
    </row>
    <row r="213" spans="2:10">
      <c r="B213" s="69" t="s">
        <v>135</v>
      </c>
      <c r="C213" s="88">
        <v>-2</v>
      </c>
      <c r="D213" s="70">
        <v>-104.76</v>
      </c>
      <c r="E213" s="70">
        <v>-5.24</v>
      </c>
      <c r="F213" s="89">
        <f>SUM(D213:E213)</f>
        <v>-110</v>
      </c>
    </row>
    <row r="214" spans="2:10">
      <c r="B214" s="69" t="s">
        <v>136</v>
      </c>
      <c r="C214" s="88">
        <v>-2</v>
      </c>
      <c r="D214" s="70">
        <v>-104.76</v>
      </c>
      <c r="E214" s="70">
        <v>-5.24</v>
      </c>
      <c r="F214" s="89">
        <f t="shared" ref="F214:F222" si="19">SUM(D214:E214)</f>
        <v>-110</v>
      </c>
    </row>
    <row r="215" spans="2:10">
      <c r="B215" s="69" t="s">
        <v>137</v>
      </c>
      <c r="C215" s="88">
        <v>-2</v>
      </c>
      <c r="D215" s="70">
        <v>-104.76</v>
      </c>
      <c r="E215" s="70">
        <v>-5.24</v>
      </c>
      <c r="F215" s="89">
        <f t="shared" si="19"/>
        <v>-110</v>
      </c>
    </row>
    <row r="216" spans="2:10">
      <c r="B216" s="69" t="s">
        <v>138</v>
      </c>
      <c r="C216" s="88">
        <v>-1</v>
      </c>
      <c r="D216" s="70">
        <v>-32.89</v>
      </c>
      <c r="E216" s="70">
        <v>-1.64</v>
      </c>
      <c r="F216" s="89">
        <f t="shared" si="19"/>
        <v>-34.53</v>
      </c>
    </row>
    <row r="217" spans="2:10">
      <c r="B217" s="69" t="s">
        <v>233</v>
      </c>
      <c r="C217" s="88">
        <v>-1</v>
      </c>
      <c r="D217" s="70">
        <v>-37.14</v>
      </c>
      <c r="E217" s="70">
        <v>-1.86</v>
      </c>
      <c r="F217" s="89">
        <f t="shared" si="19"/>
        <v>-39</v>
      </c>
    </row>
    <row r="218" spans="2:10">
      <c r="B218" s="69" t="s">
        <v>139</v>
      </c>
      <c r="C218" s="88">
        <v>-2</v>
      </c>
      <c r="D218" s="70">
        <v>-82.57</v>
      </c>
      <c r="E218" s="70">
        <v>-4.13</v>
      </c>
      <c r="F218" s="89">
        <f t="shared" si="19"/>
        <v>-86.699999999999989</v>
      </c>
    </row>
    <row r="219" spans="2:10">
      <c r="B219" s="69" t="s">
        <v>140</v>
      </c>
      <c r="C219" s="88">
        <v>-1</v>
      </c>
      <c r="D219" s="70">
        <v>-26.67</v>
      </c>
      <c r="E219" s="70">
        <v>-1.33</v>
      </c>
      <c r="F219" s="89">
        <f t="shared" si="19"/>
        <v>-28</v>
      </c>
    </row>
    <row r="220" spans="2:10">
      <c r="B220" s="69" t="s">
        <v>141</v>
      </c>
      <c r="C220" s="88">
        <v>-1</v>
      </c>
      <c r="D220" s="70">
        <v>-52.38</v>
      </c>
      <c r="E220" s="70">
        <v>-2.62</v>
      </c>
      <c r="F220" s="89">
        <f t="shared" si="19"/>
        <v>-55</v>
      </c>
    </row>
    <row r="221" spans="2:10">
      <c r="B221" s="69" t="s">
        <v>142</v>
      </c>
      <c r="C221" s="88">
        <v>-2</v>
      </c>
      <c r="D221" s="70">
        <v>-161.91</v>
      </c>
      <c r="E221" s="70">
        <v>-8.09</v>
      </c>
      <c r="F221" s="89">
        <f t="shared" si="19"/>
        <v>-170</v>
      </c>
    </row>
    <row r="222" spans="2:10">
      <c r="B222" s="69" t="s">
        <v>143</v>
      </c>
      <c r="C222" s="88">
        <v>-14</v>
      </c>
      <c r="D222" s="70">
        <v>-707.84</v>
      </c>
      <c r="E222" s="70">
        <v>-35.39</v>
      </c>
      <c r="F222" s="90">
        <f t="shared" si="19"/>
        <v>-743.23</v>
      </c>
    </row>
    <row r="223" spans="2:10">
      <c r="C223"/>
      <c r="D223" s="22"/>
      <c r="E223"/>
      <c r="F223" s="56"/>
    </row>
    <row r="224" spans="2:10">
      <c r="C224"/>
      <c r="D224" s="22"/>
      <c r="E224"/>
      <c r="F224" s="56"/>
    </row>
    <row r="225" spans="3:6">
      <c r="C225"/>
      <c r="D225" s="22"/>
      <c r="E225"/>
      <c r="F225" s="56"/>
    </row>
    <row r="226" spans="3:6">
      <c r="C226"/>
      <c r="D226" s="22"/>
      <c r="E226"/>
      <c r="F226" s="56"/>
    </row>
    <row r="227" spans="3:6">
      <c r="C227"/>
      <c r="D227" s="22"/>
      <c r="E227"/>
      <c r="F227" s="56"/>
    </row>
    <row r="228" spans="3:6">
      <c r="C228"/>
      <c r="D228" s="22"/>
      <c r="E228"/>
      <c r="F228" s="56"/>
    </row>
    <row r="229" spans="3:6">
      <c r="C229"/>
      <c r="D229" s="22"/>
      <c r="E229"/>
      <c r="F229" s="56"/>
    </row>
    <row r="230" spans="3:6">
      <c r="C230"/>
      <c r="D230" s="22"/>
      <c r="E230"/>
      <c r="F230" s="57"/>
    </row>
    <row r="231" spans="3:6">
      <c r="C231"/>
      <c r="D231" s="22"/>
      <c r="E231"/>
      <c r="F231" s="56"/>
    </row>
    <row r="232" spans="3:6">
      <c r="C232"/>
      <c r="D232" s="22"/>
      <c r="E232"/>
      <c r="F232" s="56"/>
    </row>
    <row r="233" spans="3:6">
      <c r="C233"/>
      <c r="D233" s="22"/>
      <c r="E233"/>
      <c r="F233" s="57"/>
    </row>
  </sheetData>
  <autoFilter ref="A3:M197" xr:uid="{AE51785E-BDC1-48EA-98DF-7771E16E7D3D}"/>
  <mergeCells count="162">
    <mergeCell ref="B187:B190"/>
    <mergeCell ref="D187:D190"/>
    <mergeCell ref="E187:E190"/>
    <mergeCell ref="B194:C194"/>
    <mergeCell ref="A177:A178"/>
    <mergeCell ref="B177:B178"/>
    <mergeCell ref="C177:C178"/>
    <mergeCell ref="D177:D178"/>
    <mergeCell ref="B127:F127"/>
    <mergeCell ref="B180:F180"/>
    <mergeCell ref="B181:B186"/>
    <mergeCell ref="D181:D186"/>
    <mergeCell ref="E181:E186"/>
    <mergeCell ref="A161:A162"/>
    <mergeCell ref="B161:B162"/>
    <mergeCell ref="C161:C162"/>
    <mergeCell ref="D161:D162"/>
    <mergeCell ref="A170:A171"/>
    <mergeCell ref="B170:B171"/>
    <mergeCell ref="C170:C171"/>
    <mergeCell ref="D170:D171"/>
    <mergeCell ref="A173:A176"/>
    <mergeCell ref="B173:B176"/>
    <mergeCell ref="C173:C176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4:A155"/>
    <mergeCell ref="B154:B155"/>
    <mergeCell ref="C154:C155"/>
    <mergeCell ref="D154:D155"/>
    <mergeCell ref="A7:A8"/>
    <mergeCell ref="B7:B8"/>
    <mergeCell ref="D7:D8"/>
    <mergeCell ref="E7:E8"/>
    <mergeCell ref="M7:M8"/>
    <mergeCell ref="A145:A146"/>
    <mergeCell ref="B145:B146"/>
    <mergeCell ref="C145:C146"/>
    <mergeCell ref="D145:D146"/>
    <mergeCell ref="D100:D101"/>
    <mergeCell ref="A96:A97"/>
    <mergeCell ref="B96:B97"/>
    <mergeCell ref="A65:A67"/>
    <mergeCell ref="B65:B67"/>
    <mergeCell ref="C65:C67"/>
    <mergeCell ref="D65:D67"/>
    <mergeCell ref="A22:A24"/>
    <mergeCell ref="B22:B24"/>
    <mergeCell ref="D22:D24"/>
    <mergeCell ref="D15:D16"/>
    <mergeCell ref="A17:A18"/>
    <mergeCell ref="F209:H209"/>
    <mergeCell ref="A9:A11"/>
    <mergeCell ref="B9:B11"/>
    <mergeCell ref="C9:C11"/>
    <mergeCell ref="D9:D11"/>
    <mergeCell ref="M12:M13"/>
    <mergeCell ref="A12:A13"/>
    <mergeCell ref="B12:B13"/>
    <mergeCell ref="C12:C13"/>
    <mergeCell ref="D12:D13"/>
    <mergeCell ref="F204:H204"/>
    <mergeCell ref="A118:A121"/>
    <mergeCell ref="B118:B121"/>
    <mergeCell ref="M113:M114"/>
    <mergeCell ref="B105:B106"/>
    <mergeCell ref="A100:A101"/>
    <mergeCell ref="B100:B101"/>
    <mergeCell ref="C100:C101"/>
    <mergeCell ref="M46:M47"/>
    <mergeCell ref="A46:A47"/>
    <mergeCell ref="A15:A16"/>
    <mergeCell ref="B15:B16"/>
    <mergeCell ref="C15:C16"/>
    <mergeCell ref="D173:D176"/>
    <mergeCell ref="E22:E24"/>
    <mergeCell ref="A27:A29"/>
    <mergeCell ref="B27:B29"/>
    <mergeCell ref="D27:D29"/>
    <mergeCell ref="E27:E29"/>
    <mergeCell ref="M27:M29"/>
    <mergeCell ref="B17:B18"/>
    <mergeCell ref="C17:C18"/>
    <mergeCell ref="D17:D18"/>
    <mergeCell ref="M17:M18"/>
    <mergeCell ref="E48:E49"/>
    <mergeCell ref="D48:D49"/>
    <mergeCell ref="A50:A51"/>
    <mergeCell ref="B50:B51"/>
    <mergeCell ref="C50:C51"/>
    <mergeCell ref="D50:D51"/>
    <mergeCell ref="A32:A33"/>
    <mergeCell ref="B32:B33"/>
    <mergeCell ref="C32:C33"/>
    <mergeCell ref="D32:D33"/>
    <mergeCell ref="B46:B47"/>
    <mergeCell ref="C46:C47"/>
    <mergeCell ref="D46:D47"/>
    <mergeCell ref="A59:A61"/>
    <mergeCell ref="B59:B61"/>
    <mergeCell ref="C59:C61"/>
    <mergeCell ref="D59:D61"/>
    <mergeCell ref="A62:A63"/>
    <mergeCell ref="B62:B63"/>
    <mergeCell ref="C62:C63"/>
    <mergeCell ref="D62:D63"/>
    <mergeCell ref="A48:A49"/>
    <mergeCell ref="B48:B49"/>
    <mergeCell ref="A77:A78"/>
    <mergeCell ref="D77:D78"/>
    <mergeCell ref="E77:E78"/>
    <mergeCell ref="A79:A81"/>
    <mergeCell ref="B79:B81"/>
    <mergeCell ref="C79:C81"/>
    <mergeCell ref="D79:D81"/>
    <mergeCell ref="A68:A69"/>
    <mergeCell ref="B68:B69"/>
    <mergeCell ref="C68:C69"/>
    <mergeCell ref="D68:D69"/>
    <mergeCell ref="A75:A76"/>
    <mergeCell ref="B75:B76"/>
    <mergeCell ref="C75:C76"/>
    <mergeCell ref="D75:D76"/>
    <mergeCell ref="D87:D88"/>
    <mergeCell ref="A92:A94"/>
    <mergeCell ref="B92:B94"/>
    <mergeCell ref="C92:C94"/>
    <mergeCell ref="M83:M85"/>
    <mergeCell ref="A83:A85"/>
    <mergeCell ref="B83:B85"/>
    <mergeCell ref="C83:C85"/>
    <mergeCell ref="D83:D85"/>
    <mergeCell ref="C118:C121"/>
    <mergeCell ref="D118:D121"/>
    <mergeCell ref="A1:F1"/>
    <mergeCell ref="A124:A126"/>
    <mergeCell ref="B124:B126"/>
    <mergeCell ref="C124:C126"/>
    <mergeCell ref="D124:D126"/>
    <mergeCell ref="A113:A114"/>
    <mergeCell ref="B113:B114"/>
    <mergeCell ref="C113:C114"/>
    <mergeCell ref="D113:D114"/>
    <mergeCell ref="A116:A117"/>
    <mergeCell ref="B116:B117"/>
    <mergeCell ref="C116:C117"/>
    <mergeCell ref="D116:D117"/>
    <mergeCell ref="C96:C97"/>
    <mergeCell ref="D96:D97"/>
    <mergeCell ref="D92:D94"/>
    <mergeCell ref="A105:A106"/>
    <mergeCell ref="C105:C106"/>
    <mergeCell ref="D105:D106"/>
    <mergeCell ref="A87:A88"/>
    <mergeCell ref="B87:B88"/>
    <mergeCell ref="C87:C8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Velando</dc:creator>
  <cp:lastModifiedBy>Bregandel Manalo</cp:lastModifiedBy>
  <cp:lastPrinted>2024-08-14T12:39:43Z</cp:lastPrinted>
  <dcterms:created xsi:type="dcterms:W3CDTF">2022-11-04T08:32:38Z</dcterms:created>
  <dcterms:modified xsi:type="dcterms:W3CDTF">2026-01-02T07:29:11Z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23d9d9-d8c9-4bbd-a204-c71ec2cfe465_Enabled">
    <vt:lpwstr>true</vt:lpwstr>
  </property>
  <property fmtid="{D5CDD505-2E9C-101B-9397-08002B2CF9AE}" pid="3" name="MSIP_Label_2f23d9d9-d8c9-4bbd-a204-c71ec2cfe465_SetDate">
    <vt:lpwstr>2024-10-09T10:25:59Z</vt:lpwstr>
  </property>
  <property fmtid="{D5CDD505-2E9C-101B-9397-08002B2CF9AE}" pid="4" name="MSIP_Label_2f23d9d9-d8c9-4bbd-a204-c71ec2cfe465_Method">
    <vt:lpwstr>Privileged</vt:lpwstr>
  </property>
  <property fmtid="{D5CDD505-2E9C-101B-9397-08002B2CF9AE}" pid="5" name="MSIP_Label_2f23d9d9-d8c9-4bbd-a204-c71ec2cfe465_Name">
    <vt:lpwstr>Internal`</vt:lpwstr>
  </property>
  <property fmtid="{D5CDD505-2E9C-101B-9397-08002B2CF9AE}" pid="6" name="MSIP_Label_2f23d9d9-d8c9-4bbd-a204-c71ec2cfe465_SiteId">
    <vt:lpwstr>eee3385e-742f-4e2e-b130-e496ed7d6a49</vt:lpwstr>
  </property>
  <property fmtid="{D5CDD505-2E9C-101B-9397-08002B2CF9AE}" pid="7" name="MSIP_Label_2f23d9d9-d8c9-4bbd-a204-c71ec2cfe465_ActionId">
    <vt:lpwstr>160a58f9-83dc-45d1-ab9f-19dda4b4e762</vt:lpwstr>
  </property>
  <property fmtid="{D5CDD505-2E9C-101B-9397-08002B2CF9AE}" pid="8" name="MSIP_Label_2f23d9d9-d8c9-4bbd-a204-c71ec2cfe465_ContentBits">
    <vt:lpwstr>1</vt:lpwstr>
  </property>
</Properties>
</file>